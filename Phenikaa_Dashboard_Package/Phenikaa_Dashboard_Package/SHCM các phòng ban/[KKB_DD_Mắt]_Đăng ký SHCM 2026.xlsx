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28" documentId="11_C6B5C79862E810B95EEE43652FB3D38EEF5A5E8B" xr6:coauthVersionLast="47" xr6:coauthVersionMax="47" xr10:uidLastSave="{8753F874-5619-4C69-82AB-18DA2F811744}"/>
  <bookViews>
    <workbookView xWindow="-120" yWindow="-120" windowWidth="22920" windowHeight="13755" xr2:uid="{00000000-000D-0000-FFFF-FFFF00000000}"/>
  </bookViews>
  <sheets>
    <sheet name="Kế hoạch" sheetId="1" r:id="rId1"/>
    <sheet name="Quy trình" sheetId="2" r:id="rId2"/>
  </sheets>
  <definedNames>
    <definedName name="_xlnm._FilterDatabase" localSheetId="0" hidden="1">'Kế hoạch'!$A$1:$N$36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+fikU9aboO4dV/JZmqjcdSKzOZlmlVDUKLxqL0S0pE="/>
    </ext>
  </extLst>
</workbook>
</file>

<file path=xl/calcChain.xml><?xml version="1.0" encoding="utf-8"?>
<calcChain xmlns="http://schemas.openxmlformats.org/spreadsheetml/2006/main">
  <c r="AA36" i="1" l="1"/>
  <c r="U36" i="1"/>
  <c r="T36" i="1"/>
  <c r="S36" i="1"/>
  <c r="AA35" i="1"/>
  <c r="U35" i="1"/>
  <c r="T35" i="1"/>
  <c r="S35" i="1"/>
  <c r="AA34" i="1"/>
  <c r="U34" i="1"/>
  <c r="T34" i="1"/>
  <c r="S34" i="1"/>
  <c r="AA33" i="1"/>
  <c r="U33" i="1"/>
  <c r="T33" i="1"/>
  <c r="S33" i="1"/>
  <c r="AA32" i="1"/>
  <c r="U32" i="1"/>
  <c r="T32" i="1"/>
  <c r="S32" i="1"/>
  <c r="AA31" i="1"/>
  <c r="U31" i="1"/>
  <c r="T31" i="1"/>
  <c r="S31" i="1"/>
  <c r="AA30" i="1"/>
  <c r="U30" i="1"/>
  <c r="T30" i="1"/>
  <c r="S30" i="1"/>
  <c r="AA29" i="1"/>
  <c r="U29" i="1"/>
  <c r="T29" i="1"/>
  <c r="S29" i="1"/>
  <c r="AA28" i="1"/>
  <c r="U28" i="1"/>
  <c r="T28" i="1"/>
  <c r="S28" i="1"/>
  <c r="AA27" i="1"/>
  <c r="U27" i="1"/>
  <c r="T27" i="1"/>
  <c r="S27" i="1"/>
  <c r="AA26" i="1"/>
  <c r="U26" i="1"/>
  <c r="T26" i="1"/>
  <c r="S26" i="1"/>
  <c r="AA25" i="1"/>
  <c r="U25" i="1"/>
  <c r="T25" i="1"/>
  <c r="S25" i="1"/>
  <c r="AA24" i="1"/>
  <c r="U24" i="1"/>
  <c r="T24" i="1"/>
  <c r="S24" i="1"/>
  <c r="AA23" i="1"/>
  <c r="U23" i="1"/>
  <c r="T23" i="1"/>
  <c r="S23" i="1"/>
  <c r="AA22" i="1"/>
  <c r="U22" i="1"/>
  <c r="T22" i="1"/>
  <c r="S22" i="1"/>
  <c r="AA21" i="1"/>
  <c r="U21" i="1"/>
  <c r="T21" i="1"/>
  <c r="S21" i="1"/>
  <c r="AA20" i="1"/>
  <c r="U20" i="1"/>
  <c r="T20" i="1"/>
  <c r="S20" i="1"/>
  <c r="AA19" i="1"/>
  <c r="U19" i="1"/>
  <c r="T19" i="1"/>
  <c r="S19" i="1"/>
  <c r="AA18" i="1"/>
  <c r="U18" i="1"/>
  <c r="T18" i="1"/>
  <c r="S18" i="1"/>
  <c r="AA17" i="1"/>
  <c r="U17" i="1"/>
  <c r="T17" i="1"/>
  <c r="S17" i="1"/>
  <c r="AA16" i="1"/>
  <c r="U16" i="1"/>
  <c r="T16" i="1"/>
  <c r="S16" i="1"/>
  <c r="AA15" i="1"/>
  <c r="U15" i="1"/>
  <c r="T15" i="1"/>
  <c r="S15" i="1"/>
  <c r="AA14" i="1"/>
  <c r="U14" i="1"/>
  <c r="T14" i="1"/>
  <c r="S14" i="1"/>
  <c r="AA13" i="1"/>
  <c r="U13" i="1"/>
  <c r="T13" i="1"/>
  <c r="S13" i="1"/>
  <c r="AA12" i="1"/>
  <c r="Z12" i="1"/>
  <c r="U12" i="1"/>
  <c r="T12" i="1"/>
  <c r="S12" i="1"/>
  <c r="AA11" i="1"/>
  <c r="Z11" i="1"/>
  <c r="U11" i="1"/>
  <c r="T11" i="1"/>
  <c r="S11" i="1"/>
  <c r="AA10" i="1"/>
  <c r="Z10" i="1"/>
  <c r="U10" i="1"/>
  <c r="T10" i="1"/>
  <c r="S10" i="1"/>
  <c r="AA9" i="1"/>
  <c r="U9" i="1"/>
  <c r="T9" i="1"/>
  <c r="S9" i="1"/>
  <c r="AA8" i="1"/>
  <c r="Z8" i="1"/>
  <c r="U8" i="1"/>
  <c r="T8" i="1"/>
  <c r="S8" i="1"/>
  <c r="AA7" i="1"/>
  <c r="Z7" i="1"/>
  <c r="U7" i="1"/>
  <c r="T7" i="1"/>
  <c r="S7" i="1"/>
  <c r="AA6" i="1"/>
  <c r="Z6" i="1"/>
  <c r="U6" i="1"/>
  <c r="T6" i="1"/>
  <c r="S6" i="1"/>
  <c r="AA5" i="1"/>
  <c r="Z5" i="1"/>
  <c r="U5" i="1"/>
  <c r="T5" i="1"/>
  <c r="S5" i="1"/>
  <c r="AA4" i="1"/>
  <c r="Z4" i="1"/>
  <c r="U4" i="1"/>
  <c r="T4" i="1"/>
  <c r="S4" i="1"/>
  <c r="AA3" i="1"/>
  <c r="Z3" i="1"/>
  <c r="U3" i="1"/>
  <c r="T3" i="1"/>
  <c r="S3" i="1"/>
  <c r="A3" i="1"/>
  <c r="AA2" i="1"/>
  <c r="Z2" i="1"/>
  <c r="U2" i="1"/>
  <c r="T2" i="1"/>
  <c r="S2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<sst xmlns="http://schemas.openxmlformats.org/spreadsheetml/2006/main" count="490" uniqueCount="192">
  <si>
    <t>STT</t>
  </si>
  <si>
    <t>THỨ</t>
  </si>
  <si>
    <t>Ngày</t>
  </si>
  <si>
    <t>Tháng</t>
  </si>
  <si>
    <t>Năm</t>
  </si>
  <si>
    <t>NỘI DUNG/CHƯƠNG TRÌNH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</si>
  <si>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</si>
  <si>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</si>
  <si>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</si>
  <si>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</si>
  <si>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</si>
  <si>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</si>
  <si>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</t>
  </si>
  <si>
    <t>Có bài post test</t>
  </si>
  <si>
    <t>Có bảng kiểm</t>
  </si>
  <si>
    <t>Có bài báo cáo</t>
  </si>
  <si>
    <t>Gắn link Điểm danh và post test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</si>
  <si>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</si>
  <si>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</si>
  <si>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</si>
  <si>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</si>
  <si>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</si>
  <si>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Hai</t>
  </si>
  <si>
    <t>15h00 - 16h00</t>
  </si>
  <si>
    <t>Khoa khám bệnh/Dinh dưỡng/Mắt</t>
  </si>
  <si>
    <t xml:space="preserve">Cập nhật chuẩn đoán và điều trị tăng huyết áp </t>
  </si>
  <si>
    <t>ThS. Phan Thị Minh Tâm</t>
  </si>
  <si>
    <t>Bác sĩ, Điều dưỡng, Kỹ thuật Y</t>
  </si>
  <si>
    <t>Phòng Hành chính khoa</t>
  </si>
  <si>
    <t>BS PhạmVân An(BS),
  Trần Thị Như Hiếu  (Đ D)</t>
  </si>
  <si>
    <t>0392864003</t>
  </si>
  <si>
    <t>KKB Cập nhật chẩn đoán và điều trị  tăng huyết áp (Câu trả lời).xlsx</t>
  </si>
  <si>
    <t>Cập nhật Khuyến cáo chẩn đoán và điều trị tăng huyết áp.pptx</t>
  </si>
  <si>
    <t>Dinh dưỡng cho người bệnh có bệnh lý đường tiêu hóa</t>
  </si>
  <si>
    <t>BSNT. Trần Minh Anh</t>
  </si>
  <si>
    <t>Dinh dưỡng cho người bệnh có bệnh lý đường tiêu hóa (Câu trả lời).xlsx</t>
  </si>
  <si>
    <t>CME KKB Dinh dưỡng bệnh lý đường tiêu hoá.pptx</t>
  </si>
  <si>
    <t>Chẩn đoán và điều trị thiếu máu thiếu sắt</t>
  </si>
  <si>
    <t>BSckII. Nguyễn Thị Lan Hương</t>
  </si>
  <si>
    <t>6.2.2026 Phụ BS tiêm khớp (Câu trả lời).xlsx</t>
  </si>
  <si>
    <t>PHỤ BS TIÊM KHỚP.pptx</t>
  </si>
  <si>
    <t xml:space="preserve">Phụ BS tiêm khớp </t>
  </si>
  <si>
    <t xml:space="preserve"> Đ d. Nguyễn Thị Mơ</t>
  </si>
  <si>
    <t>ĐDT Vũ Thị Hải Yến</t>
  </si>
  <si>
    <t>Điều dưỡng, KỸ thuật Y</t>
  </si>
  <si>
    <t>Chẩn đoán và điều trị thiếu máu - thiếu sắt (Câu trả lời).xlsx</t>
  </si>
  <si>
    <t>thiếu máu thiếu sắt Phenika.pptx</t>
  </si>
  <si>
    <t xml:space="preserve">Quản lý người bệnh béo phì
</t>
  </si>
  <si>
    <t>ThS. BSNT Phan Thị Minh Tâm</t>
  </si>
  <si>
    <t>Hướng dẫn chẩn đoán và điều trị béo phì (Câu trả lời).xlsx</t>
  </si>
  <si>
    <t>Obesity Management_PVA_16.03.2026.pptx</t>
  </si>
  <si>
    <t xml:space="preserve">Cập nhật chẩn đoán và điều trị bệnh Viêm gan virus B mạn tính </t>
  </si>
  <si>
    <t>BSCK II. Bùi Minh Tâm</t>
  </si>
  <si>
    <t>Cập nhật chẩn đoán viêm gan B mạn (Câu trả lời).xlsx</t>
  </si>
  <si>
    <t>Cập nhật chẩn đoán Viêm gan B.pptx</t>
  </si>
  <si>
    <t xml:space="preserve">Phụ BS chọc tế bào tuyến giáp </t>
  </si>
  <si>
    <t>Phụ BS chọc tế bào tuyến giáp (Câu trả lời) (1).xlsx</t>
  </si>
  <si>
    <t>QT phụ chọc TBTG.pptx</t>
  </si>
  <si>
    <t>Chẩn đoán, điều trị thalassemia và các bệnh lý huyết sắc tố khác</t>
  </si>
  <si>
    <t>BSCK II. Nguyễn Thị Lan Hương</t>
  </si>
  <si>
    <t>14.3.2026Cập nhật chẩn đoán và điều trị thalassemia.xlsx</t>
  </si>
  <si>
    <t>Thalassemia Phenikaa - 1 kkb.pptx</t>
  </si>
  <si>
    <t>Thực hiện</t>
  </si>
  <si>
    <t xml:space="preserve">Thử thị lực cho người bệnh </t>
  </si>
  <si>
    <t xml:space="preserve">KTV. Hoàng Thị Yến </t>
  </si>
  <si>
    <t>14.5.26 câu trả lời bài đo thị lực.xlsx</t>
  </si>
  <si>
    <t>Thử thị lực cho NB.pptx</t>
  </si>
  <si>
    <t>Cập nhật chẩn đoán và điều trị sốt xuất huyết</t>
  </si>
  <si>
    <t>BS. Hoàng Thị Hoa</t>
  </si>
  <si>
    <t>020.4.26. sốt xuất huyết lượng giá.xlsx</t>
  </si>
  <si>
    <t>20.04 - KKB - Sốt xuất huyết dengue.pdf</t>
  </si>
  <si>
    <t>BAI GIẢNG XHGTC. phenikaa.pptx</t>
  </si>
  <si>
    <t xml:space="preserve">Đã gửi bảng kiểm đánh giá về  phòng đào tạo </t>
  </si>
  <si>
    <t>Cập nhật chẩn đoán và điều trị bệnh gan nhiễm mỡ</t>
  </si>
  <si>
    <t>Ths.BSNT. Nguyễn Thị Thu Huyền</t>
  </si>
  <si>
    <t>4.5. BỆNH GAN NHIỄM MỠ KHÔNG DO RƯỢU.xlsx</t>
  </si>
  <si>
    <t>4.5 KKB Bảng kiểm đánh giá đào tạo SHCM 1.pdf</t>
  </si>
  <si>
    <t>4.5. Gan nhiễm mỡ không do rượu.pptx</t>
  </si>
  <si>
    <t>Thứ Tư</t>
  </si>
  <si>
    <t>Chẩn đoán và điều trị suy giáp</t>
  </si>
  <si>
    <t>ThS. BSNT Trần Thị Liên</t>
  </si>
  <si>
    <t>13.5.26 Cập nhật chẩn đoán và điều trị suy giáp.xlsx</t>
  </si>
  <si>
    <t>13.5.2026. Bảng kiểm đào tạo SHCM.pdf</t>
  </si>
  <si>
    <t>13.5.26. Cập nhật chẩn đoán và điều trị suy giáp.pptx</t>
  </si>
  <si>
    <t xml:space="preserve">Hoãn từ ngày 11/5/2026 do ngày 13/5 bs dd tham gia đào tạo bệnh viện </t>
  </si>
  <si>
    <t xml:space="preserve">Phụ bs thực hiện thủ thuật điều trị hạt cơm bằng laser CO2, điều trị sẹo lồi bằng TRIAMINONONE,  trích rạch áp xe,  
</t>
  </si>
  <si>
    <t>Đ D. Nguyễn Thị La</t>
  </si>
  <si>
    <t>Đổi từ 18/05 sang 21/05</t>
  </si>
  <si>
    <t>Đại cương 1 số bệnh dị ứng- miễn dịch</t>
  </si>
  <si>
    <t>Bs. Đinh Thế Tiến</t>
  </si>
  <si>
    <t>Điều trị loét dạ dày - tá tràng do nhiễm vi khuẩn H.Pylori</t>
  </si>
  <si>
    <t>Test hơi thở HP cho người bệnh</t>
  </si>
  <si>
    <t>Đ.D. Vũ Thị Hồng Nhung</t>
  </si>
  <si>
    <t>Chẩn đoán và xử trí đau thắt ngực</t>
  </si>
  <si>
    <t>Nguyễn Danh Quý</t>
  </si>
  <si>
    <t>Cập nhật chẩn đoán, phân loại và mục tiêu điều trị đái tháo đường</t>
  </si>
  <si>
    <t>Ths.BSNT Phạm Vân An</t>
  </si>
  <si>
    <t>Cập nhật điều trị đái tháo đường</t>
  </si>
  <si>
    <t>ThS.BSNT Nguyễn Thị Thu Huyền</t>
  </si>
  <si>
    <t>Kỹ thuật tiêm và bảo quản insulin</t>
  </si>
  <si>
    <t>ĐD. Dương Thị Lan Anh</t>
  </si>
  <si>
    <t>Tiếp cận người bệnh thiếu máu</t>
  </si>
  <si>
    <t>Cập nhật chẩn đoán, điều trị và chăm sóc người bệnh viêm da cơ địa</t>
  </si>
  <si>
    <t>BSCKI Lại Thị Kiều Trang</t>
  </si>
  <si>
    <t>Cập nhật chẩn đoán và điều trị suy thận mạn</t>
  </si>
  <si>
    <t>BSCKII. Lê Danh Vinh</t>
  </si>
  <si>
    <t>Chẩn đoán và điều trị hội chứng Cushing do thuốc</t>
  </si>
  <si>
    <t>Cập nhật chẩn đoán và điều trị bệnh tăng nhãn áp</t>
  </si>
  <si>
    <t>BS Cao Thị Nhung</t>
  </si>
  <si>
    <t>Thực hiện thủ thuật nặn tuyến bờ mi cho người bệnh
 Phụ BS làm thủ thuật trích chắp, lẹo</t>
  </si>
  <si>
    <t>ĐD. Quách Thị Thanh Huyền</t>
  </si>
  <si>
    <t>Điều dưỡng, Kỹ thuật Y</t>
  </si>
  <si>
    <t>Đại cương rối loạn lo âu</t>
  </si>
  <si>
    <t>BS. Nguyễn Thúy Hằng</t>
  </si>
  <si>
    <t>Đại cương rồi loạn trầm cảm</t>
  </si>
  <si>
    <t>Cập nhật chẩn đoán và điều trị đái tháo đường thai kỳ</t>
  </si>
  <si>
    <t>Đột quỵ não ở người cao tuổi</t>
  </si>
  <si>
    <t>TS. BS. Ngô Tiến Tuấn</t>
  </si>
  <si>
    <t>Các sản phẩm dinh dưỡng bệnh lý</t>
  </si>
  <si>
    <t>Kiểm soát cận thị ở trẻ em</t>
  </si>
  <si>
    <t>KTV. Tống Thành Nam</t>
  </si>
  <si>
    <t>Tương tác thuốc và thực phẩm</t>
  </si>
  <si>
    <t>BS. Trần Minh Anh</t>
  </si>
  <si>
    <t>Dinh dưỡng cho người bệnh rối loạn mỡ máu</t>
  </si>
  <si>
    <t>Hội chứng Sheehan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</si>
  <si>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</si>
  <si>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</si>
  <si>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</si>
  <si>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</si>
  <si>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</si>
  <si>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</si>
  <si>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</si>
  <si>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</si>
  <si>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</si>
  <si>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</si>
  <si>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</si>
  <si>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</si>
  <si>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</si>
  <si>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</si>
  <si>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</si>
  <si>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</si>
  <si>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</si>
  <si>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</si>
  <si>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</si>
  <si>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</si>
  <si>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</si>
  <si>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</si>
  <si>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</si>
  <si>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</si>
  <si>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</si>
  <si>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</si>
  <si>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</si>
  <si>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</si>
  <si>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</si>
  <si>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</si>
  <si>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</si>
  <si>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</si>
  <si>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</si>
  <si>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</si>
  <si>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</si>
  <si>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</si>
  <si>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</si>
  <si>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</si>
  <si>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</si>
  <si>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</si>
  <si>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</si>
  <si>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</si>
  <si>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</si>
  <si>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</si>
  <si>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</si>
  <si>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</si>
  <si>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</si>
  <si>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</si>
  <si>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</si>
  <si>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</si>
  <si>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</si>
  <si>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</si>
  <si>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</si>
  <si>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</si>
  <si>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</si>
  <si>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</si>
  <si>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</si>
  <si>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</si>
  <si>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</si>
  <si>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</si>
  <si>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</si>
  <si>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ĐƠN VỊ</t>
  </si>
  <si>
    <t>Giờ</t>
  </si>
  <si>
    <t>ĐẦU MỐI</t>
  </si>
  <si>
    <t>NGƯỜI PHỤ TRÁCH NỘI DUNG</t>
  </si>
  <si>
    <t>BÁO CÁO VIÊN</t>
  </si>
  <si>
    <t>Gắn link bảng kiểm đào tạo nội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</si>
</sst>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"/>
  </numFmts>
  <fonts count="15">
    <font>
      <sz val="11"/>
      <color theme="1"/>
      <name val="Calibri"/>
      <scheme val="minor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u/>
      <sz val="12"/>
      <color theme="1"/>
      <name val="Times New Roman"/>
      <family val="1"/>
    </font>
    <font>
      <u/>
      <sz val="13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color theme="1"/>
      <name val="&quot;Times New Roman&quot;"/>
    </font>
    <font>
      <sz val="13"/>
      <color theme="1"/>
      <name val="&quot;Times New Roman&quot;"/>
    </font>
    <font>
      <sz val="11"/>
      <color theme="1"/>
      <name val="Calibri"/>
      <family val="2"/>
    </font>
    <font>
      <sz val="12"/>
      <color rgb="FF000000"/>
      <name val="&quot;Times New Roman&quot;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3"/>
      <color theme="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BDAD7"/>
        <bgColor rgb="FFFBDAD7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2" fillId="7" borderId="1" xfId="0" applyFont="1" applyFill="1" applyBorder="1" applyAlignment="1">
      <alignment horizontal="right"/>
    </xf>
    <xf numFmtId="0" fontId="12" fillId="7" borderId="1" xfId="0" applyFont="1" applyFill="1" applyBorder="1"/>
    <xf numFmtId="0" fontId="12" fillId="7" borderId="1" xfId="0" applyFont="1" applyFill="1" applyBorder="1" applyAlignment="1">
      <alignment wrapText="1"/>
    </xf>
    <xf numFmtId="0" fontId="13" fillId="7" borderId="1" xfId="0" applyFont="1" applyFill="1" applyBorder="1"/>
    <xf numFmtId="0" fontId="12" fillId="8" borderId="1" xfId="0" applyFont="1" applyFill="1" applyBorder="1" applyAlignment="1">
      <alignment horizontal="right"/>
    </xf>
    <xf numFmtId="0" fontId="12" fillId="8" borderId="1" xfId="0" applyFont="1" applyFill="1" applyBorder="1"/>
    <xf numFmtId="0" fontId="12" fillId="8" borderId="1" xfId="0" applyFont="1" applyFill="1" applyBorder="1" applyAlignment="1">
      <alignment wrapText="1"/>
    </xf>
    <xf numFmtId="0" fontId="13" fillId="8" borderId="1" xfId="0" applyFont="1" applyFill="1" applyBorder="1"/>
    <xf numFmtId="0" fontId="12" fillId="9" borderId="1" xfId="0" applyFont="1" applyFill="1" applyBorder="1" applyAlignment="1">
      <alignment horizontal="right"/>
    </xf>
    <xf numFmtId="0" fontId="12" fillId="9" borderId="1" xfId="0" applyFont="1" applyFill="1" applyBorder="1"/>
    <xf numFmtId="0" fontId="12" fillId="9" borderId="1" xfId="0" applyFont="1" applyFill="1" applyBorder="1" applyAlignment="1">
      <alignment wrapText="1"/>
    </xf>
    <xf numFmtId="0" fontId="13" fillId="9" borderId="1" xfId="0" applyFont="1" applyFill="1" applyBorder="1"/>
    <xf numFmtId="0" fontId="12" fillId="10" borderId="1" xfId="0" applyFont="1" applyFill="1" applyBorder="1" applyAlignment="1">
      <alignment horizontal="right"/>
    </xf>
    <xf numFmtId="0" fontId="12" fillId="10" borderId="1" xfId="0" applyFont="1" applyFill="1" applyBorder="1"/>
    <xf numFmtId="0" fontId="12" fillId="10" borderId="1" xfId="0" applyFont="1" applyFill="1" applyBorder="1" applyAlignment="1">
      <alignment wrapText="1"/>
    </xf>
    <xf numFmtId="0" fontId="13" fillId="10" borderId="1" xfId="0" applyFont="1" applyFill="1" applyBorder="1"/>
    <xf numFmtId="0" fontId="12" fillId="11" borderId="1" xfId="0" applyFont="1" applyFill="1" applyBorder="1" applyAlignment="1">
      <alignment horizontal="right"/>
    </xf>
    <xf numFmtId="0" fontId="12" fillId="11" borderId="1" xfId="0" applyFont="1" applyFill="1" applyBorder="1"/>
    <xf numFmtId="0" fontId="12" fillId="11" borderId="1" xfId="0" applyFont="1" applyFill="1" applyBorder="1" applyAlignment="1">
      <alignment wrapText="1"/>
    </xf>
    <xf numFmtId="0" fontId="13" fillId="11" borderId="1" xfId="0" applyFont="1" applyFill="1" applyBorder="1"/>
    <xf numFmtId="0" fontId="2" fillId="5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2" borderId="5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164" fontId="14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6F8F9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theme="4" tint="0.3999450666829432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5" defaultTableStyle="Table S">
    <tableStyle name="Kế hoạch-style" pivot="0" count="2" xr9:uid="{00000000-0011-0000-FFFF-FFFF00000000}">
      <tableStyleElement type="firstRowStripe" dxfId="31"/>
      <tableStyleElement type="secondRowStripe" dxfId="30"/>
    </tableStyle>
    <tableStyle name="Table S" pivot="0" count="1" xr9:uid="{25AF62DC-7FAC-4915-9833-EEEC4CDF8DC0}">
      <tableStyleElement type="firstRowStripe" dxfId="29"/>
    </tableStyle>
    <tableStyle name="Table Style 1" pivot="0" count="0" xr9:uid="{2005584F-CBFE-478A-9C48-619071F63B5C}"/>
    <tableStyle name="Table Style 2" pivot="0" count="0" xr9:uid="{234CCB54-B436-48AB-A82D-BDF463CDE00B}"/>
    <tableStyle name="Table Style 3" pivot="0" count="0" xr9:uid="{9261B08F-FF05-427A-9C8D-8FF058928E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00E6A-E8D9-42DC-BB01-0C7DF3CA47FD}" name="Table1" displayName="Table1" ref="A1:AB36" totalsRowShown="0" tableBorderDxfId="28">
  <autoFilter ref="A1:AB36" xr:uid="{2E200E6A-E8D9-42DC-BB01-0C7DF3CA47FD}"/>
  <tableColumns count="28">
    <tableColumn id="1" xr3:uid="{BE17AAB6-2F81-4A3B-87CE-9E8568D21DB2}" name="STT" dataDxfId="27">
      <calculatedColumnFormula>A1+1</calculatedColumnFormula>
    </tableColumn>
    <tableColumn id="2" xr3:uid="{62CEED95-559E-4623-9C1E-4BC3958D6516}" name="THỨ" dataDxfId="26"/>
    <tableColumn id="3" xr3:uid="{168805E6-7459-4FF7-99CD-0B89244BC0C1}" name="Giờ" dataDxfId="25"/>
    <tableColumn id="4" xr3:uid="{AC6D9442-70BB-49FC-ABDC-4227426B0A14}" name="Ngày" dataDxfId="24"/>
    <tableColumn id="5" xr3:uid="{62BC010C-0104-481F-94FA-EF03242E8F44}" name="Tháng" dataDxfId="23"/>
    <tableColumn id="6" xr3:uid="{23CE9C5A-6125-45BA-9068-8EE7A452DDE1}" name="Năm" dataDxfId="22"/>
    <tableColumn id="7" xr3:uid="{136596C8-3E0C-4DC5-9926-D1CFBF1702F7}" name="ĐƠN VỊ" dataDxfId="21"/>
    <tableColumn id="8" xr3:uid="{581D28A9-2DE0-4EB9-B572-EAFC9FFF5A7B}" name="NỘI DUNG/CHƯƠNG TRÌNH" dataDxfId="20"/>
    <tableColumn id="9" xr3:uid="{BF6AA3C9-7EF9-4140-8160-D7E54DC55650}" name="BÁO CÁO VIÊN" dataDxfId="19"/>
    <tableColumn id="10" xr3:uid="{FCF6B4B6-4F36-48EA-A3F2-527F2BE9396A}" name="NGƯỜI PHỤ TRÁCH NỘI DUNG" dataDxfId="18"/>
    <tableColumn id="11" xr3:uid="{7C91C6AA-0D42-4C2B-AE8E-39289E7C4A36}" name="ĐỐI TƯỢNG" dataDxfId="17"/>
    <tableColumn id="12" xr3:uid="{679D7B40-62DD-4B9E-93D7-18F47881DBA9}" name="ĐỊA ĐIỂM" dataDxfId="16"/>
    <tableColumn id="13" xr3:uid="{C91D25F9-F580-474C-9883-72F2E70B4810}" name="ĐẦU MỐI" dataDxfId="15"/>
    <tableColumn id="14" xr3:uid="{4A48A78A-094B-43F5-B2E2-F73EE83EFFEC}" name="LIÊN HỆ" dataDxfId="14"/>
    <tableColumn id="15" xr3:uid="{38FC4702-742E-48EE-8B28-7F6123A09D9D}" name="Số học viên tham gia" dataDxfId="13"/>
    <tableColumn id="16" xr3:uid="{72124C78-2BBB-468B-9EB5-C9163C0B0B7F}" name="Số Học viên đạt" dataDxfId="12"/>
    <tableColumn id="17" xr3:uid="{E736FC1D-CF72-48DD-A19C-45A55D4F4233}" name="Số HV không đạt" dataDxfId="11"/>
    <tableColumn id="18" xr3:uid="{20BF4E0B-CAD0-4632-99BB-4E5F2D8649CD}" name="Đúng form post test điểm danh (ít nhất 10 câu)" dataDxfId="10"/>
    <tableColumn id="19" xr3:uid="{AC47B1EF-3F43-4F68-8616-3F739A37A8CC}" name="Có bài post test" dataDxfId="9">
      <calculatedColumnFormula>IF(V2&gt;0,"Có","Không")</calculatedColumnFormula>
    </tableColumn>
    <tableColumn id="20" xr3:uid="{4471EA85-DF96-4872-9D36-35FCB1C40535}" name="Có bảng kiểm" dataDxfId="8">
      <calculatedColumnFormula>IF(W2&gt;0,"Có","Không")</calculatedColumnFormula>
    </tableColumn>
    <tableColumn id="21" xr3:uid="{A1B0BED0-29C6-41BB-B320-4D75E9C700F3}" name="Có bài báo cáo" dataDxfId="7">
      <calculatedColumnFormula>IF(X2&gt;0,"Có","Không")</calculatedColumnFormula>
    </tableColumn>
    <tableColumn id="22" xr3:uid="{CAEB9488-4D2A-4BA7-AC83-A1D88D6B56FB}" name="Gắn link Điểm danh và post test" dataDxfId="6"/>
    <tableColumn id="23" xr3:uid="{722C7037-9461-43ED-91D9-0835A0BCE460}" name="Gắn link bảng kiểm đào tạo nội bộ" dataDxfId="5"/>
    <tableColumn id="24" xr3:uid="{E53BF817-73D3-48DD-A8E8-3C377081E757}" name="Gắn link bài báo cáo" dataDxfId="4"/>
    <tableColumn id="25" xr3:uid="{80146492-192F-4019-956B-AC38DF96C72E}" name="Gắn link video buổi đào tạo" dataDxfId="3"/>
    <tableColumn id="26" xr3:uid="{8085477D-F516-47CF-A2A1-CDACC2A9F8FB}" name="Tình trạng thực hiện" dataDxfId="2"/>
    <tableColumn id="27" xr3:uid="{B6D929F1-3A68-4909-B4FF-408BAB8655B2}" name="Cập nhật calendar" dataDxfId="1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8" xr3:uid="{9258F92B-B576-4189-A0B0-1ADB44526118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presentation/d/1sWSkztcTihBXJy97j-15O7Pr7U79FeQb/edit?usp=sharing&amp;ouid=102728285064004883020&amp;rtpof=true&amp;sd=true" TargetMode="External"/><Relationship Id="rId13" Type="http://schemas.openxmlformats.org/officeDocument/2006/relationships/hyperlink" Target="https://docs.google.com/spreadsheets/d/1PrquEv2Rzb_ETc8CsHZkLx9uEJKgbjLG/edit?usp=sharing&amp;ouid=102728285064004883020&amp;rtpof=true&amp;sd=true" TargetMode="External"/><Relationship Id="rId18" Type="http://schemas.openxmlformats.org/officeDocument/2006/relationships/hyperlink" Target="https://docs.google.com/presentation/d/1bIlkBzS44pll9XhC3FoYWzj5KaKCCxpD/edit?usp=sharing&amp;ouid=102728285064004883020&amp;rtpof=true&amp;sd=true" TargetMode="External"/><Relationship Id="rId26" Type="http://schemas.openxmlformats.org/officeDocument/2006/relationships/hyperlink" Target="https://drive.google.com/file/d/1p0Sunmw4OHSUOCml7XO7xhgMpSa--0qT/view?usp=drive_link" TargetMode="External"/><Relationship Id="rId3" Type="http://schemas.openxmlformats.org/officeDocument/2006/relationships/hyperlink" Target="https://docs.google.com/spreadsheets/d/13oU3LUVEwG3gQZzWd1NsWANiRt2NcO8H/edit?usp=sharing&amp;ouid=102728285064004883020&amp;rtpof=true&amp;sd=true" TargetMode="External"/><Relationship Id="rId21" Type="http://schemas.openxmlformats.org/officeDocument/2006/relationships/hyperlink" Target="https://docs.google.com/presentation/d/1vaJt9ktFZxVsev9S8UKGB46OiyRQ9jPX/edit?usp=sharing&amp;ouid=102728285064004883020&amp;rtpof=true&amp;sd=true" TargetMode="External"/><Relationship Id="rId7" Type="http://schemas.openxmlformats.org/officeDocument/2006/relationships/hyperlink" Target="https://docs.google.com/spreadsheets/d/1t6oCA9sX3FBDJsnGYx-KCaRmpVIoaky1/edit?usp=sharing&amp;ouid=102728285064004883020&amp;rtpof=true&amp;sd=true" TargetMode="External"/><Relationship Id="rId12" Type="http://schemas.openxmlformats.org/officeDocument/2006/relationships/hyperlink" Target="https://docs.google.com/presentation/d/1WwHKHkwejxOfiY2xq8Ps_hTby0jafcjq/edit?usp=drive_link&amp;ouid=102728285064004883020&amp;rtpof=true&amp;sd=true" TargetMode="External"/><Relationship Id="rId17" Type="http://schemas.openxmlformats.org/officeDocument/2006/relationships/hyperlink" Target="https://docs.google.com/spreadsheets/d/1_RlqlSbCvG_yqsVsi2yCDFmEvIRYIgOo/edit?usp=sharing&amp;ouid=102728285064004883020&amp;rtpof=true&amp;sd=true" TargetMode="External"/><Relationship Id="rId25" Type="http://schemas.openxmlformats.org/officeDocument/2006/relationships/hyperlink" Target="https://docs.google.com/spreadsheets/d/1pe4dUmV5bcTTPFLIHTScodt3x6ubIanK/edit?usp=drive_link&amp;ouid=102728285064004883020&amp;rtpof=true&amp;sd=true" TargetMode="External"/><Relationship Id="rId2" Type="http://schemas.openxmlformats.org/officeDocument/2006/relationships/hyperlink" Target="https://docs.google.com/presentation/d/1Bu0RnR9Pf1zdOXmswe_7TK2MjDMGnGKx/edit?usp=drive_link&amp;ouid=102728285064004883020&amp;rtpof=true&amp;sd=true" TargetMode="External"/><Relationship Id="rId16" Type="http://schemas.openxmlformats.org/officeDocument/2006/relationships/hyperlink" Target="https://docs.google.com/presentation/d/1i3jg_VU4vTnClFxbnHRJhtOOMqyj-K7t/edit?usp=drive_link&amp;ouid=102728285064004883020&amp;rtpof=true&amp;sd=true" TargetMode="External"/><Relationship Id="rId20" Type="http://schemas.openxmlformats.org/officeDocument/2006/relationships/hyperlink" Target="https://drive.google.com/file/d/1ApMFMeR2d4xf0v4pjKj0kLGJBQ0xmxoX/view?usp=sharing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docs.google.com/spreadsheets/d/1WxEFn0fuAbPVQG941Whr7jUZd8hEcWEV/edit?usp=sharing&amp;ouid=102728285064004883020&amp;rtpof=true&amp;sd=true" TargetMode="External"/><Relationship Id="rId6" Type="http://schemas.openxmlformats.org/officeDocument/2006/relationships/hyperlink" Target="https://docs.google.com/presentation/d/1Mq2glwmVvbAXxissVBsefalkvr8A13-r/edit?usp=sharing&amp;ouid=102728285064004883020&amp;rtpof=true&amp;sd=true" TargetMode="External"/><Relationship Id="rId11" Type="http://schemas.openxmlformats.org/officeDocument/2006/relationships/hyperlink" Target="https://docs.google.com/spreadsheets/d/10oPQlbfX5-bcO3pjLw8FRvwVdzqVWBz5/edit?usp=sharing&amp;ouid=102728285064004883020&amp;rtpof=true&amp;sd=true" TargetMode="External"/><Relationship Id="rId24" Type="http://schemas.openxmlformats.org/officeDocument/2006/relationships/hyperlink" Target="https://docs.google.com/presentation/d/1JNWjjSoKwty22DOtFCkncaPxdq_BAVYB/edit?usp=drive_link&amp;ouid=102728285064004883020&amp;rtpof=true&amp;sd=true" TargetMode="External"/><Relationship Id="rId5" Type="http://schemas.openxmlformats.org/officeDocument/2006/relationships/hyperlink" Target="https://docs.google.com/spreadsheets/d/1PCrNiYrwVISeDb4mJaoittY-Dw9plaUh/edit?usp=sharing&amp;ouid=102728285064004883020&amp;rtpof=true&amp;sd=true" TargetMode="External"/><Relationship Id="rId15" Type="http://schemas.openxmlformats.org/officeDocument/2006/relationships/hyperlink" Target="https://docs.google.com/spreadsheets/d/1w1uw2nTgX-jheol501FDw9rTw1Qsb1mO/edit?usp=sharing&amp;ouid=102728285064004883020&amp;rtpof=true&amp;sd=true" TargetMode="External"/><Relationship Id="rId23" Type="http://schemas.openxmlformats.org/officeDocument/2006/relationships/hyperlink" Target="https://drive.google.com/file/d/1Z2JSP3Jd19FClFDmCXkY2gjoq647KUuq/view?usp=drive_link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docs.google.com/presentation/d/1Hw1XrVBztHvMSRsnVxADkF1JHWy6s_pW/edit?usp=drive_link&amp;ouid=102728285064004883020&amp;rtpof=true&amp;sd=true" TargetMode="External"/><Relationship Id="rId19" Type="http://schemas.openxmlformats.org/officeDocument/2006/relationships/hyperlink" Target="https://docs.google.com/spreadsheets/d/1508ccP1AnTVY25ftKRxWSjFzToOp0lm4/edit?usp=sharing&amp;ouid=102728285064004883020&amp;rtpof=true&amp;sd=true" TargetMode="External"/><Relationship Id="rId4" Type="http://schemas.openxmlformats.org/officeDocument/2006/relationships/hyperlink" Target="https://docs.google.com/presentation/d/1us1NhaEUPZvk7VAwcSWs44IAf9SZPtc8/edit?usp=sharing&amp;ouid=102728285064004883020&amp;rtpof=true&amp;sd=true" TargetMode="External"/><Relationship Id="rId9" Type="http://schemas.openxmlformats.org/officeDocument/2006/relationships/hyperlink" Target="https://docs.google.com/spreadsheets/d/1B-cP6XT6SZeqJmnuDf9QKEBV27BO3C1N/edit?usp=sharing&amp;ouid=102728285064004883020&amp;rtpof=true&amp;sd=true" TargetMode="External"/><Relationship Id="rId14" Type="http://schemas.openxmlformats.org/officeDocument/2006/relationships/hyperlink" Target="https://docs.google.com/presentation/d/18iOALSr4HOKGsrFKfuNzNqCmWezmUoh0/edit?usp=drive_link&amp;ouid=102728285064004883020&amp;rtpof=true&amp;sd=true" TargetMode="External"/><Relationship Id="rId22" Type="http://schemas.openxmlformats.org/officeDocument/2006/relationships/hyperlink" Target="https://docs.google.com/spreadsheets/d/1fSXpyVu75soRfMZ6e9b47Ksl3JD7ObLx/edit?usp=drive_link&amp;ouid=102728285064004883020&amp;rtpof=true&amp;sd=true" TargetMode="External"/><Relationship Id="rId27" Type="http://schemas.openxmlformats.org/officeDocument/2006/relationships/hyperlink" Target="https://docs.google.com/presentation/d/1_8IZOxIiT_OXkp5I5h9sBUCH3DNItYwO/edit?usp=drive_link&amp;ouid=10272828506400488302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6"/>
  <sheetViews>
    <sheetView tabSelected="1" topLeftCell="R1" workbookViewId="0">
      <selection activeCell="W2" sqref="W2"/>
    </sheetView>
  </sheetViews>
  <sheetFormatPr defaultColWidth="14.42578125" defaultRowHeight="15" customHeight="1"/>
  <cols>
    <col min="1" max="1" width="8.5703125" customWidth="1"/>
    <col min="2" max="2" width="12.5703125" customWidth="1"/>
    <col min="3" max="3" width="17.28515625" customWidth="1"/>
    <col min="4" max="4" width="11.85546875" customWidth="1"/>
    <col min="5" max="5" width="12" customWidth="1"/>
    <col min="6" max="6" width="17.140625" customWidth="1"/>
    <col min="7" max="7" width="28.42578125" customWidth="1"/>
    <col min="8" max="8" width="35.28515625" customWidth="1"/>
    <col min="9" max="9" width="35.42578125" customWidth="1"/>
    <col min="10" max="10" width="50.28515625" customWidth="1"/>
    <col min="11" max="11" width="33" customWidth="1"/>
    <col min="12" max="12" width="26" customWidth="1"/>
    <col min="13" max="13" width="39.28515625" customWidth="1"/>
    <col min="14" max="14" width="24" customWidth="1"/>
    <col min="15" max="15" width="24.7109375" customWidth="1"/>
    <col min="16" max="16" width="19.42578125" customWidth="1"/>
    <col min="17" max="17" width="20.5703125" customWidth="1"/>
    <col min="18" max="18" width="51.7109375" customWidth="1"/>
    <col min="19" max="19" width="19.42578125" customWidth="1"/>
    <col min="20" max="20" width="17.5703125" customWidth="1"/>
    <col min="21" max="21" width="18.42578125" customWidth="1"/>
    <col min="22" max="22" width="36.5703125" customWidth="1"/>
    <col min="23" max="23" width="32.5703125" customWidth="1"/>
    <col min="24" max="24" width="28.7109375" customWidth="1"/>
    <col min="25" max="25" width="32.140625" customWidth="1"/>
    <col min="26" max="26" width="24.7109375" customWidth="1"/>
    <col min="27" max="27" width="49.28515625" customWidth="1"/>
    <col min="28" max="28" width="43.28515625" customWidth="1"/>
  </cols>
  <sheetData>
    <row r="1" spans="1:28" ht="78" customHeight="1">
      <c r="A1" s="48" t="s">
        <v>0</v>
      </c>
      <c r="B1" s="49" t="s">
        <v>1</v>
      </c>
      <c r="C1" s="49" t="s">
        <v>187</v>
      </c>
      <c r="D1" s="49" t="s">
        <v>2</v>
      </c>
      <c r="E1" s="49" t="s">
        <v>3</v>
      </c>
      <c r="F1" s="49" t="s">
        <v>4</v>
      </c>
      <c r="G1" s="49" t="s">
        <v>186</v>
      </c>
      <c r="H1" s="49" t="s">
        <v>5</v>
      </c>
      <c r="I1" s="49" t="s">
        <v>190</v>
      </c>
      <c r="J1" s="49" t="s">
        <v>189</v>
      </c>
      <c r="K1" s="49" t="s">
        <v>6</v>
      </c>
      <c r="L1" s="49" t="s">
        <v>7</v>
      </c>
      <c r="M1" s="49" t="s">
        <v>188</v>
      </c>
      <c r="N1" s="50" t="s">
        <v>8</v>
      </c>
      <c r="O1" s="51" t="s">
        <v>9</v>
      </c>
      <c r="P1" s="51" t="s">
        <v>10</v>
      </c>
      <c r="Q1" s="51" t="s">
        <v>11</v>
      </c>
      <c r="R1" s="49" t="s">
        <v>12</v>
      </c>
      <c r="S1" s="52" t="s">
        <v>13</v>
      </c>
      <c r="T1" s="52" t="s">
        <v>14</v>
      </c>
      <c r="U1" s="52" t="s">
        <v>15</v>
      </c>
      <c r="V1" s="53" t="s">
        <v>16</v>
      </c>
      <c r="W1" s="53" t="s">
        <v>191</v>
      </c>
      <c r="X1" s="53" t="s">
        <v>17</v>
      </c>
      <c r="Y1" s="53" t="s">
        <v>18</v>
      </c>
      <c r="Z1" s="52" t="s">
        <v>19</v>
      </c>
      <c r="AA1" s="52" t="s">
        <v>20</v>
      </c>
      <c r="AB1" s="49" t="s">
        <v>21</v>
      </c>
    </row>
    <row r="2" spans="1:28" ht="49.5">
      <c r="A2" s="46">
        <v>1</v>
      </c>
      <c r="B2" s="34" t="s">
        <v>22</v>
      </c>
      <c r="C2" s="34" t="s">
        <v>23</v>
      </c>
      <c r="D2" s="34">
        <v>7</v>
      </c>
      <c r="E2" s="34">
        <v>1</v>
      </c>
      <c r="F2" s="37">
        <v>2026</v>
      </c>
      <c r="G2" s="37" t="s">
        <v>24</v>
      </c>
      <c r="H2" s="34" t="s">
        <v>25</v>
      </c>
      <c r="I2" s="34" t="s">
        <v>26</v>
      </c>
      <c r="J2" s="34" t="s">
        <v>26</v>
      </c>
      <c r="K2" s="34" t="s">
        <v>27</v>
      </c>
      <c r="L2" s="34" t="s">
        <v>28</v>
      </c>
      <c r="M2" s="34" t="s">
        <v>29</v>
      </c>
      <c r="N2" s="25" t="s">
        <v>30</v>
      </c>
      <c r="O2" s="1">
        <v>29</v>
      </c>
      <c r="P2" s="1">
        <v>29</v>
      </c>
      <c r="Q2" s="1">
        <v>0</v>
      </c>
      <c r="R2" s="27"/>
      <c r="S2" s="28" t="str">
        <f t="shared" ref="S2:U2" si="0">IF(V2&gt;0,"Có","Không")</f>
        <v>Có</v>
      </c>
      <c r="T2" s="28" t="str">
        <f t="shared" si="0"/>
        <v>Không</v>
      </c>
      <c r="U2" s="28" t="str">
        <f t="shared" si="0"/>
        <v>Có</v>
      </c>
      <c r="V2" s="29" t="s">
        <v>31</v>
      </c>
      <c r="W2" s="30"/>
      <c r="X2" s="31" t="s">
        <v>32</v>
      </c>
      <c r="Y2" s="30"/>
      <c r="Z2" s="32" t="str">
        <f t="shared" ref="Z2:Z5" si="1">IF(COUNTA(V2:X2)&gt;0,"Thực hiện","Không thực hiện")</f>
        <v>Thực hiện</v>
      </c>
      <c r="AA2" s="32" t="e">
        <f t="shared" ref="AA2:AA36" ca="1" si="2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34"/>
    </row>
    <row r="3" spans="1:28" ht="49.5">
      <c r="A3" s="47">
        <f t="shared" ref="A3:A36" si="3">A2+1</f>
        <v>2</v>
      </c>
      <c r="B3" s="24" t="s">
        <v>22</v>
      </c>
      <c r="C3" s="24" t="s">
        <v>23</v>
      </c>
      <c r="D3" s="24">
        <v>12</v>
      </c>
      <c r="E3" s="24">
        <v>1</v>
      </c>
      <c r="F3" s="38">
        <v>2026</v>
      </c>
      <c r="G3" s="39" t="s">
        <v>24</v>
      </c>
      <c r="H3" s="24" t="s">
        <v>33</v>
      </c>
      <c r="I3" s="24" t="s">
        <v>34</v>
      </c>
      <c r="J3" s="24" t="s">
        <v>34</v>
      </c>
      <c r="K3" s="24" t="s">
        <v>27</v>
      </c>
      <c r="L3" s="24" t="s">
        <v>28</v>
      </c>
      <c r="M3" s="24" t="s">
        <v>29</v>
      </c>
      <c r="N3" s="33" t="s">
        <v>30</v>
      </c>
      <c r="O3" s="24">
        <v>37</v>
      </c>
      <c r="P3" s="24">
        <v>37</v>
      </c>
      <c r="Q3" s="24">
        <v>0</v>
      </c>
      <c r="R3" s="24"/>
      <c r="S3" s="28" t="str">
        <f t="shared" ref="S3:U3" si="4">IF(V3&gt;0,"Có","Không")</f>
        <v>Có</v>
      </c>
      <c r="T3" s="28" t="str">
        <f t="shared" si="4"/>
        <v>Không</v>
      </c>
      <c r="U3" s="28" t="str">
        <f t="shared" si="4"/>
        <v>Có</v>
      </c>
      <c r="V3" s="31" t="s">
        <v>35</v>
      </c>
      <c r="W3" s="30"/>
      <c r="X3" s="31" t="s">
        <v>36</v>
      </c>
      <c r="Y3" s="30"/>
      <c r="Z3" s="32" t="str">
        <f t="shared" si="1"/>
        <v>Thực hiện</v>
      </c>
      <c r="AA3" s="32" t="e">
        <f t="shared" ca="1" si="2"/>
        <v>#NAME?</v>
      </c>
      <c r="AB3" s="24"/>
    </row>
    <row r="4" spans="1:28" ht="33">
      <c r="A4" s="46">
        <f t="shared" si="3"/>
        <v>3</v>
      </c>
      <c r="B4" s="34" t="s">
        <v>22</v>
      </c>
      <c r="C4" s="34" t="s">
        <v>23</v>
      </c>
      <c r="D4" s="34">
        <v>26</v>
      </c>
      <c r="E4" s="34">
        <v>1</v>
      </c>
      <c r="F4" s="37">
        <v>2026</v>
      </c>
      <c r="G4" s="40" t="s">
        <v>24</v>
      </c>
      <c r="H4" s="34" t="s">
        <v>37</v>
      </c>
      <c r="I4" s="34" t="s">
        <v>38</v>
      </c>
      <c r="J4" s="34" t="s">
        <v>38</v>
      </c>
      <c r="K4" s="34" t="s">
        <v>27</v>
      </c>
      <c r="L4" s="34" t="s">
        <v>28</v>
      </c>
      <c r="M4" s="34" t="s">
        <v>29</v>
      </c>
      <c r="N4" s="25" t="s">
        <v>30</v>
      </c>
      <c r="O4" s="34">
        <v>29</v>
      </c>
      <c r="P4" s="34">
        <v>29</v>
      </c>
      <c r="Q4" s="34">
        <v>0</v>
      </c>
      <c r="R4" s="34"/>
      <c r="S4" s="28" t="str">
        <f t="shared" ref="S4:U4" si="5">IF(V4&gt;0,"Có","Không")</f>
        <v>Có</v>
      </c>
      <c r="T4" s="28" t="str">
        <f t="shared" si="5"/>
        <v>Không</v>
      </c>
      <c r="U4" s="28" t="str">
        <f t="shared" si="5"/>
        <v>Có</v>
      </c>
      <c r="V4" s="35" t="s">
        <v>39</v>
      </c>
      <c r="W4" s="30"/>
      <c r="X4" s="31" t="s">
        <v>40</v>
      </c>
      <c r="Y4" s="30"/>
      <c r="Z4" s="32" t="str">
        <f t="shared" si="1"/>
        <v>Thực hiện</v>
      </c>
      <c r="AA4" s="32" t="e">
        <f t="shared" ca="1" si="2"/>
        <v>#NAME?</v>
      </c>
      <c r="AB4" s="34"/>
    </row>
    <row r="5" spans="1:28" ht="33">
      <c r="A5" s="47">
        <f t="shared" si="3"/>
        <v>4</v>
      </c>
      <c r="B5" s="24" t="s">
        <v>22</v>
      </c>
      <c r="C5" s="24" t="s">
        <v>23</v>
      </c>
      <c r="D5" s="24">
        <v>2</v>
      </c>
      <c r="E5" s="24">
        <v>2</v>
      </c>
      <c r="F5" s="38">
        <v>2026</v>
      </c>
      <c r="G5" s="39" t="s">
        <v>24</v>
      </c>
      <c r="H5" s="24" t="s">
        <v>41</v>
      </c>
      <c r="I5" s="24" t="s">
        <v>42</v>
      </c>
      <c r="J5" s="24" t="s">
        <v>43</v>
      </c>
      <c r="K5" s="24" t="s">
        <v>44</v>
      </c>
      <c r="L5" s="24" t="s">
        <v>28</v>
      </c>
      <c r="M5" s="24" t="s">
        <v>29</v>
      </c>
      <c r="N5" s="33" t="s">
        <v>30</v>
      </c>
      <c r="O5" s="34">
        <v>24</v>
      </c>
      <c r="P5" s="34">
        <v>24</v>
      </c>
      <c r="Q5" s="34">
        <v>0</v>
      </c>
      <c r="R5" s="24"/>
      <c r="S5" s="28" t="str">
        <f t="shared" ref="S5:U5" si="6">IF(V5&gt;0,"Có","Không")</f>
        <v>Có</v>
      </c>
      <c r="T5" s="28" t="str">
        <f t="shared" si="6"/>
        <v>Không</v>
      </c>
      <c r="U5" s="28" t="str">
        <f t="shared" si="6"/>
        <v>Có</v>
      </c>
      <c r="V5" s="31" t="s">
        <v>45</v>
      </c>
      <c r="W5" s="30"/>
      <c r="X5" s="31" t="s">
        <v>46</v>
      </c>
      <c r="Y5" s="30"/>
      <c r="Z5" s="32" t="str">
        <f t="shared" si="1"/>
        <v>Thực hiện</v>
      </c>
      <c r="AA5" s="32" t="e">
        <f t="shared" ca="1" si="2"/>
        <v>#NAME?</v>
      </c>
      <c r="AB5" s="24"/>
    </row>
    <row r="6" spans="1:28" ht="49.5">
      <c r="A6" s="46">
        <f t="shared" si="3"/>
        <v>5</v>
      </c>
      <c r="B6" s="34" t="s">
        <v>22</v>
      </c>
      <c r="C6" s="34" t="s">
        <v>23</v>
      </c>
      <c r="D6" s="34">
        <v>9</v>
      </c>
      <c r="E6" s="34">
        <v>2</v>
      </c>
      <c r="F6" s="37">
        <v>2026</v>
      </c>
      <c r="G6" s="40" t="s">
        <v>24</v>
      </c>
      <c r="H6" s="34" t="s">
        <v>47</v>
      </c>
      <c r="I6" s="34" t="s">
        <v>48</v>
      </c>
      <c r="J6" s="34" t="s">
        <v>48</v>
      </c>
      <c r="K6" s="34" t="s">
        <v>27</v>
      </c>
      <c r="L6" s="34" t="s">
        <v>28</v>
      </c>
      <c r="M6" s="34" t="s">
        <v>29</v>
      </c>
      <c r="N6" s="25" t="s">
        <v>30</v>
      </c>
      <c r="O6" s="34">
        <v>29</v>
      </c>
      <c r="P6" s="34">
        <v>29</v>
      </c>
      <c r="Q6" s="34">
        <v>0</v>
      </c>
      <c r="R6" s="34"/>
      <c r="S6" s="28" t="str">
        <f t="shared" ref="S6:U6" si="7">IF(V6&gt;0,"Có","Không")</f>
        <v>Có</v>
      </c>
      <c r="T6" s="28" t="str">
        <f t="shared" si="7"/>
        <v>Không</v>
      </c>
      <c r="U6" s="28" t="str">
        <f t="shared" si="7"/>
        <v>Có</v>
      </c>
      <c r="V6" s="35" t="s">
        <v>49</v>
      </c>
      <c r="W6" s="30"/>
      <c r="X6" s="31" t="s">
        <v>50</v>
      </c>
      <c r="Y6" s="30"/>
      <c r="Z6" s="32" t="str">
        <f>IF(COUNTA(W6:X6)&gt;0,"Thực hiện","Không thực hiện")</f>
        <v>Thực hiện</v>
      </c>
      <c r="AA6" s="32" t="e">
        <f t="shared" ca="1" si="2"/>
        <v>#NAME?</v>
      </c>
      <c r="AB6" s="34"/>
    </row>
    <row r="7" spans="1:28" ht="33">
      <c r="A7" s="47">
        <f t="shared" si="3"/>
        <v>6</v>
      </c>
      <c r="B7" s="24" t="s">
        <v>22</v>
      </c>
      <c r="C7" s="24" t="s">
        <v>23</v>
      </c>
      <c r="D7" s="24">
        <v>2</v>
      </c>
      <c r="E7" s="24">
        <v>3</v>
      </c>
      <c r="F7" s="38">
        <v>2026</v>
      </c>
      <c r="G7" s="39" t="s">
        <v>24</v>
      </c>
      <c r="H7" s="24" t="s">
        <v>51</v>
      </c>
      <c r="I7" s="24" t="s">
        <v>52</v>
      </c>
      <c r="J7" s="24" t="s">
        <v>48</v>
      </c>
      <c r="K7" s="24" t="s">
        <v>27</v>
      </c>
      <c r="L7" s="24" t="s">
        <v>28</v>
      </c>
      <c r="M7" s="24" t="s">
        <v>29</v>
      </c>
      <c r="N7" s="33" t="s">
        <v>30</v>
      </c>
      <c r="O7" s="24">
        <v>34</v>
      </c>
      <c r="P7" s="24">
        <v>34</v>
      </c>
      <c r="Q7" s="24">
        <v>0</v>
      </c>
      <c r="R7" s="24"/>
      <c r="S7" s="28" t="str">
        <f t="shared" ref="S7:U7" si="8">IF(V7&gt;0,"Có","Không")</f>
        <v>Có</v>
      </c>
      <c r="T7" s="28" t="str">
        <f t="shared" si="8"/>
        <v>Không</v>
      </c>
      <c r="U7" s="28" t="str">
        <f t="shared" si="8"/>
        <v>Có</v>
      </c>
      <c r="V7" s="31" t="s">
        <v>53</v>
      </c>
      <c r="W7" s="30"/>
      <c r="X7" s="31" t="s">
        <v>54</v>
      </c>
      <c r="Y7" s="30"/>
      <c r="Z7" s="32" t="str">
        <f t="shared" ref="Z7:Z8" si="9">IF(COUNTA(V7:X7)&gt;0,"Thực hiện","Không thực hiện")</f>
        <v>Thực hiện</v>
      </c>
      <c r="AA7" s="32" t="e">
        <f t="shared" ca="1" si="2"/>
        <v>#NAME?</v>
      </c>
      <c r="AB7" s="24"/>
    </row>
    <row r="8" spans="1:28" ht="33">
      <c r="A8" s="46">
        <f t="shared" si="3"/>
        <v>7</v>
      </c>
      <c r="B8" s="34" t="s">
        <v>22</v>
      </c>
      <c r="C8" s="34" t="s">
        <v>23</v>
      </c>
      <c r="D8" s="34">
        <v>9</v>
      </c>
      <c r="E8" s="34">
        <v>3</v>
      </c>
      <c r="F8" s="37">
        <v>2026</v>
      </c>
      <c r="G8" s="40" t="s">
        <v>24</v>
      </c>
      <c r="H8" s="34" t="s">
        <v>55</v>
      </c>
      <c r="I8" s="34" t="s">
        <v>42</v>
      </c>
      <c r="J8" s="34" t="s">
        <v>43</v>
      </c>
      <c r="K8" s="34" t="s">
        <v>44</v>
      </c>
      <c r="L8" s="34" t="s">
        <v>28</v>
      </c>
      <c r="M8" s="34" t="s">
        <v>29</v>
      </c>
      <c r="N8" s="25" t="s">
        <v>30</v>
      </c>
      <c r="O8" s="34">
        <v>24</v>
      </c>
      <c r="P8" s="34">
        <v>24</v>
      </c>
      <c r="Q8" s="34">
        <v>0</v>
      </c>
      <c r="R8" s="34"/>
      <c r="S8" s="28" t="str">
        <f t="shared" ref="S8:U8" si="10">IF(V8&gt;0,"Có","Không")</f>
        <v>Có</v>
      </c>
      <c r="T8" s="28" t="str">
        <f t="shared" si="10"/>
        <v>Không</v>
      </c>
      <c r="U8" s="28" t="str">
        <f t="shared" si="10"/>
        <v>Có</v>
      </c>
      <c r="V8" s="31" t="s">
        <v>56</v>
      </c>
      <c r="W8" s="30"/>
      <c r="X8" s="31" t="s">
        <v>57</v>
      </c>
      <c r="Y8" s="30"/>
      <c r="Z8" s="32" t="str">
        <f t="shared" si="9"/>
        <v>Thực hiện</v>
      </c>
      <c r="AA8" s="32" t="e">
        <f t="shared" ca="1" si="2"/>
        <v>#NAME?</v>
      </c>
      <c r="AB8" s="34"/>
    </row>
    <row r="9" spans="1:28" ht="33">
      <c r="A9" s="47">
        <f t="shared" si="3"/>
        <v>8</v>
      </c>
      <c r="B9" s="24" t="s">
        <v>22</v>
      </c>
      <c r="C9" s="24" t="s">
        <v>23</v>
      </c>
      <c r="D9" s="24">
        <v>13</v>
      </c>
      <c r="E9" s="24">
        <v>4</v>
      </c>
      <c r="F9" s="38">
        <v>2026</v>
      </c>
      <c r="G9" s="39" t="s">
        <v>24</v>
      </c>
      <c r="H9" s="24" t="s">
        <v>58</v>
      </c>
      <c r="I9" s="24" t="s">
        <v>59</v>
      </c>
      <c r="J9" s="24" t="s">
        <v>59</v>
      </c>
      <c r="K9" s="34" t="s">
        <v>27</v>
      </c>
      <c r="L9" s="39" t="s">
        <v>28</v>
      </c>
      <c r="M9" s="39" t="s">
        <v>29</v>
      </c>
      <c r="N9" s="41" t="s">
        <v>30</v>
      </c>
      <c r="O9" s="24">
        <v>36</v>
      </c>
      <c r="P9" s="24">
        <v>36</v>
      </c>
      <c r="Q9" s="24">
        <v>0</v>
      </c>
      <c r="R9" s="24"/>
      <c r="S9" s="28" t="str">
        <f t="shared" ref="S9:U9" si="11">IF(V9&gt;0,"Có","Không")</f>
        <v>Có</v>
      </c>
      <c r="T9" s="28" t="str">
        <f t="shared" si="11"/>
        <v>Không</v>
      </c>
      <c r="U9" s="28" t="str">
        <f t="shared" si="11"/>
        <v>Có</v>
      </c>
      <c r="V9" s="31" t="s">
        <v>60</v>
      </c>
      <c r="W9" s="30"/>
      <c r="X9" s="31" t="s">
        <v>61</v>
      </c>
      <c r="Y9" s="30"/>
      <c r="Z9" s="32" t="s">
        <v>62</v>
      </c>
      <c r="AA9" s="32" t="e">
        <f t="shared" ca="1" si="2"/>
        <v>#NAME?</v>
      </c>
      <c r="AB9" s="24"/>
    </row>
    <row r="10" spans="1:28" ht="33">
      <c r="A10" s="46">
        <f t="shared" si="3"/>
        <v>9</v>
      </c>
      <c r="B10" s="34" t="s">
        <v>22</v>
      </c>
      <c r="C10" s="34" t="s">
        <v>23</v>
      </c>
      <c r="D10" s="34">
        <v>14</v>
      </c>
      <c r="E10" s="34">
        <v>4</v>
      </c>
      <c r="F10" s="37">
        <v>2026</v>
      </c>
      <c r="G10" s="40" t="s">
        <v>24</v>
      </c>
      <c r="H10" s="34" t="s">
        <v>63</v>
      </c>
      <c r="I10" s="34" t="s">
        <v>64</v>
      </c>
      <c r="J10" s="34" t="s">
        <v>43</v>
      </c>
      <c r="K10" s="34" t="s">
        <v>44</v>
      </c>
      <c r="L10" s="34" t="s">
        <v>28</v>
      </c>
      <c r="M10" s="34" t="s">
        <v>29</v>
      </c>
      <c r="N10" s="25" t="s">
        <v>30</v>
      </c>
      <c r="O10" s="24">
        <v>23</v>
      </c>
      <c r="P10" s="24">
        <v>23</v>
      </c>
      <c r="Q10" s="24">
        <v>0</v>
      </c>
      <c r="R10" s="24"/>
      <c r="S10" s="28" t="str">
        <f t="shared" ref="S10:U10" si="12">IF(V10&gt;0,"Có","Không")</f>
        <v>Có</v>
      </c>
      <c r="T10" s="28" t="str">
        <f t="shared" si="12"/>
        <v>Không</v>
      </c>
      <c r="U10" s="28" t="str">
        <f t="shared" si="12"/>
        <v>Có</v>
      </c>
      <c r="V10" s="31" t="s">
        <v>65</v>
      </c>
      <c r="W10" s="30"/>
      <c r="X10" s="31" t="s">
        <v>66</v>
      </c>
      <c r="Y10" s="30"/>
      <c r="Z10" s="32" t="str">
        <f t="shared" ref="Z10:Z12" si="13">IF(COUNTA(V10:X10)&gt;0,"Thực hiện","Không thực hiện")</f>
        <v>Thực hiện</v>
      </c>
      <c r="AA10" s="32" t="e">
        <f t="shared" ca="1" si="2"/>
        <v>#NAME?</v>
      </c>
      <c r="AB10" s="24"/>
    </row>
    <row r="11" spans="1:28" ht="33">
      <c r="A11" s="47">
        <f t="shared" si="3"/>
        <v>10</v>
      </c>
      <c r="B11" s="24" t="s">
        <v>22</v>
      </c>
      <c r="C11" s="24" t="s">
        <v>23</v>
      </c>
      <c r="D11" s="24">
        <v>20</v>
      </c>
      <c r="E11" s="24">
        <v>4</v>
      </c>
      <c r="F11" s="38">
        <v>2026</v>
      </c>
      <c r="G11" s="39" t="s">
        <v>24</v>
      </c>
      <c r="H11" s="24" t="s">
        <v>67</v>
      </c>
      <c r="I11" s="24" t="s">
        <v>68</v>
      </c>
      <c r="J11" s="24" t="s">
        <v>48</v>
      </c>
      <c r="K11" s="34" t="s">
        <v>27</v>
      </c>
      <c r="L11" s="39" t="s">
        <v>28</v>
      </c>
      <c r="M11" s="39" t="s">
        <v>29</v>
      </c>
      <c r="N11" s="41" t="s">
        <v>30</v>
      </c>
      <c r="O11" s="34">
        <v>31</v>
      </c>
      <c r="P11" s="34">
        <v>31</v>
      </c>
      <c r="Q11" s="34">
        <v>0</v>
      </c>
      <c r="R11" s="34"/>
      <c r="S11" s="28" t="str">
        <f t="shared" ref="S11:U11" si="14">IF(V11&gt;0,"Có","Không")</f>
        <v>Có</v>
      </c>
      <c r="T11" s="28" t="str">
        <f t="shared" si="14"/>
        <v>Có</v>
      </c>
      <c r="U11" s="28" t="str">
        <f t="shared" si="14"/>
        <v>Có</v>
      </c>
      <c r="V11" s="31" t="s">
        <v>69</v>
      </c>
      <c r="W11" s="31" t="s">
        <v>70</v>
      </c>
      <c r="X11" s="31" t="s">
        <v>71</v>
      </c>
      <c r="Y11" s="30"/>
      <c r="Z11" s="32" t="str">
        <f t="shared" si="13"/>
        <v>Thực hiện</v>
      </c>
      <c r="AA11" s="32" t="e">
        <f t="shared" ca="1" si="2"/>
        <v>#NAME?</v>
      </c>
      <c r="AB11" s="34" t="s">
        <v>72</v>
      </c>
    </row>
    <row r="12" spans="1:28" ht="33">
      <c r="A12" s="46">
        <f t="shared" si="3"/>
        <v>11</v>
      </c>
      <c r="B12" s="34" t="s">
        <v>22</v>
      </c>
      <c r="C12" s="34" t="s">
        <v>23</v>
      </c>
      <c r="D12" s="34">
        <v>4</v>
      </c>
      <c r="E12" s="34">
        <v>5</v>
      </c>
      <c r="F12" s="37">
        <v>2026</v>
      </c>
      <c r="G12" s="40" t="s">
        <v>24</v>
      </c>
      <c r="H12" s="34" t="s">
        <v>73</v>
      </c>
      <c r="I12" s="34" t="s">
        <v>74</v>
      </c>
      <c r="J12" s="34" t="s">
        <v>48</v>
      </c>
      <c r="K12" s="34" t="s">
        <v>27</v>
      </c>
      <c r="L12" s="40" t="s">
        <v>28</v>
      </c>
      <c r="M12" s="40" t="s">
        <v>29</v>
      </c>
      <c r="N12" s="26" t="s">
        <v>30</v>
      </c>
      <c r="O12" s="34">
        <v>36</v>
      </c>
      <c r="P12" s="34">
        <v>36</v>
      </c>
      <c r="Q12" s="34">
        <v>0</v>
      </c>
      <c r="R12" s="34"/>
      <c r="S12" s="28" t="str">
        <f t="shared" ref="S12:U12" si="15">IF(V12&gt;0,"Có","Không")</f>
        <v>Có</v>
      </c>
      <c r="T12" s="28" t="str">
        <f t="shared" si="15"/>
        <v>Có</v>
      </c>
      <c r="U12" s="28" t="str">
        <f t="shared" si="15"/>
        <v>Có</v>
      </c>
      <c r="V12" s="31" t="s">
        <v>75</v>
      </c>
      <c r="W12" s="31" t="s">
        <v>76</v>
      </c>
      <c r="X12" s="31" t="s">
        <v>77</v>
      </c>
      <c r="Y12" s="30"/>
      <c r="Z12" s="32" t="str">
        <f t="shared" si="13"/>
        <v>Thực hiện</v>
      </c>
      <c r="AA12" s="32" t="e">
        <f t="shared" ca="1" si="2"/>
        <v>#NAME?</v>
      </c>
      <c r="AB12" s="34"/>
    </row>
    <row r="13" spans="1:28" ht="49.5">
      <c r="A13" s="47">
        <f t="shared" si="3"/>
        <v>12</v>
      </c>
      <c r="B13" s="24" t="s">
        <v>78</v>
      </c>
      <c r="C13" s="24" t="s">
        <v>23</v>
      </c>
      <c r="D13" s="24">
        <v>13</v>
      </c>
      <c r="E13" s="24">
        <v>5</v>
      </c>
      <c r="F13" s="38">
        <v>2026</v>
      </c>
      <c r="G13" s="39" t="s">
        <v>24</v>
      </c>
      <c r="H13" s="24" t="s">
        <v>79</v>
      </c>
      <c r="I13" s="24" t="s">
        <v>80</v>
      </c>
      <c r="J13" s="24" t="s">
        <v>80</v>
      </c>
      <c r="K13" s="24" t="s">
        <v>27</v>
      </c>
      <c r="L13" s="39" t="s">
        <v>28</v>
      </c>
      <c r="M13" s="39" t="s">
        <v>29</v>
      </c>
      <c r="N13" s="41" t="s">
        <v>30</v>
      </c>
      <c r="O13" s="34"/>
      <c r="P13" s="34"/>
      <c r="Q13" s="34"/>
      <c r="R13" s="34"/>
      <c r="S13" s="28" t="str">
        <f t="shared" ref="S13:U13" si="16">IF(V13&gt;0,"Có","Không")</f>
        <v>Có</v>
      </c>
      <c r="T13" s="28" t="str">
        <f t="shared" si="16"/>
        <v>Có</v>
      </c>
      <c r="U13" s="28" t="str">
        <f t="shared" si="16"/>
        <v>Có</v>
      </c>
      <c r="V13" s="31" t="s">
        <v>81</v>
      </c>
      <c r="W13" s="31" t="s">
        <v>82</v>
      </c>
      <c r="X13" s="31" t="s">
        <v>83</v>
      </c>
      <c r="Y13" s="30"/>
      <c r="Z13" s="32"/>
      <c r="AA13" s="32" t="e">
        <f t="shared" ca="1" si="2"/>
        <v>#NAME?</v>
      </c>
      <c r="AB13" s="34" t="s">
        <v>84</v>
      </c>
    </row>
    <row r="14" spans="1:28" ht="63">
      <c r="A14" s="46">
        <f t="shared" si="3"/>
        <v>13</v>
      </c>
      <c r="B14" s="34" t="s">
        <v>22</v>
      </c>
      <c r="C14" s="34" t="s">
        <v>23</v>
      </c>
      <c r="D14" s="34">
        <v>21</v>
      </c>
      <c r="E14" s="34">
        <v>5</v>
      </c>
      <c r="F14" s="37">
        <v>2026</v>
      </c>
      <c r="G14" s="40" t="s">
        <v>24</v>
      </c>
      <c r="H14" s="34" t="s">
        <v>85</v>
      </c>
      <c r="I14" s="34" t="s">
        <v>86</v>
      </c>
      <c r="J14" s="34" t="s">
        <v>43</v>
      </c>
      <c r="K14" s="34" t="s">
        <v>44</v>
      </c>
      <c r="L14" s="40" t="s">
        <v>28</v>
      </c>
      <c r="M14" s="40" t="s">
        <v>29</v>
      </c>
      <c r="N14" s="26" t="s">
        <v>30</v>
      </c>
      <c r="O14" s="34"/>
      <c r="P14" s="34"/>
      <c r="Q14" s="34"/>
      <c r="R14" s="34"/>
      <c r="S14" s="28" t="str">
        <f t="shared" ref="S14:U14" si="17">IF(V14&gt;0,"Có","Không")</f>
        <v>Không</v>
      </c>
      <c r="T14" s="28" t="str">
        <f t="shared" si="17"/>
        <v>Không</v>
      </c>
      <c r="U14" s="28" t="str">
        <f t="shared" si="17"/>
        <v>Không</v>
      </c>
      <c r="V14" s="30"/>
      <c r="W14" s="30"/>
      <c r="X14" s="30"/>
      <c r="Y14" s="30"/>
      <c r="Z14" s="32"/>
      <c r="AA14" s="32" t="e">
        <f t="shared" ca="1" si="2"/>
        <v>#NAME?</v>
      </c>
      <c r="AB14" s="34" t="s">
        <v>87</v>
      </c>
    </row>
    <row r="15" spans="1:28" ht="33">
      <c r="A15" s="47">
        <f t="shared" si="3"/>
        <v>14</v>
      </c>
      <c r="B15" s="24" t="s">
        <v>22</v>
      </c>
      <c r="C15" s="24" t="s">
        <v>23</v>
      </c>
      <c r="D15" s="24">
        <v>25</v>
      </c>
      <c r="E15" s="24">
        <v>5</v>
      </c>
      <c r="F15" s="38">
        <v>2026</v>
      </c>
      <c r="G15" s="39" t="s">
        <v>24</v>
      </c>
      <c r="H15" s="42" t="s">
        <v>88</v>
      </c>
      <c r="I15" s="43" t="s">
        <v>89</v>
      </c>
      <c r="J15" s="24" t="s">
        <v>48</v>
      </c>
      <c r="K15" s="24" t="s">
        <v>27</v>
      </c>
      <c r="L15" s="39" t="s">
        <v>28</v>
      </c>
      <c r="M15" s="39" t="s">
        <v>29</v>
      </c>
      <c r="N15" s="41" t="s">
        <v>30</v>
      </c>
      <c r="O15" s="34"/>
      <c r="P15" s="34"/>
      <c r="Q15" s="34"/>
      <c r="R15" s="34"/>
      <c r="S15" s="28" t="str">
        <f t="shared" ref="S15:U15" si="18">IF(V15&gt;0,"Có","Không")</f>
        <v>Không</v>
      </c>
      <c r="T15" s="28" t="str">
        <f t="shared" si="18"/>
        <v>Không</v>
      </c>
      <c r="U15" s="28" t="str">
        <f t="shared" si="18"/>
        <v>Không</v>
      </c>
      <c r="V15" s="30"/>
      <c r="W15" s="30"/>
      <c r="X15" s="30"/>
      <c r="Y15" s="30"/>
      <c r="Z15" s="32"/>
      <c r="AA15" s="32" t="e">
        <f t="shared" ca="1" si="2"/>
        <v>#NAME?</v>
      </c>
      <c r="AB15" s="34"/>
    </row>
    <row r="16" spans="1:28" ht="33">
      <c r="A16" s="46">
        <f t="shared" si="3"/>
        <v>15</v>
      </c>
      <c r="B16" s="34" t="s">
        <v>22</v>
      </c>
      <c r="C16" s="34" t="s">
        <v>23</v>
      </c>
      <c r="D16" s="34">
        <v>8</v>
      </c>
      <c r="E16" s="34">
        <v>6</v>
      </c>
      <c r="F16" s="37">
        <v>2026</v>
      </c>
      <c r="G16" s="40" t="s">
        <v>24</v>
      </c>
      <c r="H16" s="43" t="s">
        <v>90</v>
      </c>
      <c r="I16" s="43" t="s">
        <v>52</v>
      </c>
      <c r="J16" s="34" t="s">
        <v>48</v>
      </c>
      <c r="K16" s="34" t="s">
        <v>27</v>
      </c>
      <c r="L16" s="40" t="s">
        <v>28</v>
      </c>
      <c r="M16" s="40" t="s">
        <v>29</v>
      </c>
      <c r="N16" s="26" t="s">
        <v>30</v>
      </c>
      <c r="O16" s="34"/>
      <c r="P16" s="34"/>
      <c r="Q16" s="34"/>
      <c r="R16" s="34"/>
      <c r="S16" s="28" t="str">
        <f t="shared" ref="S16:U16" si="19">IF(V16&gt;0,"Có","Không")</f>
        <v>Không</v>
      </c>
      <c r="T16" s="28" t="str">
        <f t="shared" si="19"/>
        <v>Không</v>
      </c>
      <c r="U16" s="28" t="str">
        <f t="shared" si="19"/>
        <v>Không</v>
      </c>
      <c r="V16" s="30"/>
      <c r="W16" s="30"/>
      <c r="X16" s="30"/>
      <c r="Y16" s="30"/>
      <c r="Z16" s="32"/>
      <c r="AA16" s="32" t="e">
        <f t="shared" ca="1" si="2"/>
        <v>#NAME?</v>
      </c>
      <c r="AB16" s="34"/>
    </row>
    <row r="17" spans="1:28" ht="33">
      <c r="A17" s="47">
        <f t="shared" si="3"/>
        <v>16</v>
      </c>
      <c r="B17" s="24" t="s">
        <v>22</v>
      </c>
      <c r="C17" s="24" t="s">
        <v>23</v>
      </c>
      <c r="D17" s="24">
        <v>15</v>
      </c>
      <c r="E17" s="24">
        <v>6</v>
      </c>
      <c r="F17" s="38">
        <v>2026</v>
      </c>
      <c r="G17" s="39" t="s">
        <v>24</v>
      </c>
      <c r="H17" s="43" t="s">
        <v>91</v>
      </c>
      <c r="I17" s="43" t="s">
        <v>92</v>
      </c>
      <c r="J17" s="24" t="s">
        <v>48</v>
      </c>
      <c r="K17" s="24" t="s">
        <v>27</v>
      </c>
      <c r="L17" s="39" t="s">
        <v>28</v>
      </c>
      <c r="M17" s="39" t="s">
        <v>29</v>
      </c>
      <c r="N17" s="41" t="s">
        <v>30</v>
      </c>
      <c r="O17" s="34"/>
      <c r="P17" s="34"/>
      <c r="Q17" s="34"/>
      <c r="R17" s="34"/>
      <c r="S17" s="28" t="str">
        <f t="shared" ref="S17:U17" si="20">IF(V17&gt;0,"Có","Không")</f>
        <v>Không</v>
      </c>
      <c r="T17" s="28" t="str">
        <f t="shared" si="20"/>
        <v>Không</v>
      </c>
      <c r="U17" s="28" t="str">
        <f t="shared" si="20"/>
        <v>Không</v>
      </c>
      <c r="V17" s="30"/>
      <c r="W17" s="30"/>
      <c r="X17" s="30"/>
      <c r="Y17" s="30"/>
      <c r="Z17" s="32"/>
      <c r="AA17" s="32" t="e">
        <f t="shared" ca="1" si="2"/>
        <v>#NAME?</v>
      </c>
      <c r="AB17" s="34"/>
    </row>
    <row r="18" spans="1:28" ht="33">
      <c r="A18" s="46">
        <f t="shared" si="3"/>
        <v>17</v>
      </c>
      <c r="B18" s="34" t="s">
        <v>22</v>
      </c>
      <c r="C18" s="34" t="s">
        <v>23</v>
      </c>
      <c r="D18" s="34">
        <v>22</v>
      </c>
      <c r="E18" s="34">
        <v>6</v>
      </c>
      <c r="F18" s="37">
        <v>2026</v>
      </c>
      <c r="G18" s="40" t="s">
        <v>24</v>
      </c>
      <c r="H18" s="42" t="s">
        <v>93</v>
      </c>
      <c r="I18" s="42" t="s">
        <v>94</v>
      </c>
      <c r="J18" s="34" t="s">
        <v>48</v>
      </c>
      <c r="K18" s="34" t="s">
        <v>27</v>
      </c>
      <c r="L18" s="40" t="s">
        <v>28</v>
      </c>
      <c r="M18" s="40" t="s">
        <v>29</v>
      </c>
      <c r="N18" s="26" t="s">
        <v>30</v>
      </c>
      <c r="O18" s="34"/>
      <c r="P18" s="34"/>
      <c r="Q18" s="34"/>
      <c r="R18" s="34"/>
      <c r="S18" s="28" t="str">
        <f t="shared" ref="S18:U18" si="21">IF(V18&gt;0,"Có","Không")</f>
        <v>Không</v>
      </c>
      <c r="T18" s="28" t="str">
        <f t="shared" si="21"/>
        <v>Không</v>
      </c>
      <c r="U18" s="28" t="str">
        <f t="shared" si="21"/>
        <v>Không</v>
      </c>
      <c r="V18" s="30"/>
      <c r="W18" s="30"/>
      <c r="X18" s="30"/>
      <c r="Y18" s="30"/>
      <c r="Z18" s="32"/>
      <c r="AA18" s="32" t="e">
        <f t="shared" ca="1" si="2"/>
        <v>#NAME?</v>
      </c>
      <c r="AB18" s="34"/>
    </row>
    <row r="19" spans="1:28" ht="45">
      <c r="A19" s="47">
        <f t="shared" si="3"/>
        <v>18</v>
      </c>
      <c r="B19" s="24" t="s">
        <v>22</v>
      </c>
      <c r="C19" s="24" t="s">
        <v>23</v>
      </c>
      <c r="D19" s="24">
        <v>6</v>
      </c>
      <c r="E19" s="24">
        <v>7</v>
      </c>
      <c r="F19" s="38">
        <v>2026</v>
      </c>
      <c r="G19" s="39" t="s">
        <v>24</v>
      </c>
      <c r="H19" s="43" t="s">
        <v>95</v>
      </c>
      <c r="I19" s="43" t="s">
        <v>96</v>
      </c>
      <c r="J19" s="24" t="s">
        <v>48</v>
      </c>
      <c r="K19" s="24" t="s">
        <v>27</v>
      </c>
      <c r="L19" s="39" t="s">
        <v>28</v>
      </c>
      <c r="M19" s="39" t="s">
        <v>29</v>
      </c>
      <c r="N19" s="41" t="s">
        <v>30</v>
      </c>
      <c r="O19" s="34"/>
      <c r="P19" s="34"/>
      <c r="Q19" s="34"/>
      <c r="R19" s="34"/>
      <c r="S19" s="28" t="str">
        <f t="shared" ref="S19:U19" si="22">IF(V19&gt;0,"Có","Không")</f>
        <v>Không</v>
      </c>
      <c r="T19" s="28" t="str">
        <f t="shared" si="22"/>
        <v>Không</v>
      </c>
      <c r="U19" s="28" t="str">
        <f t="shared" si="22"/>
        <v>Không</v>
      </c>
      <c r="V19" s="30"/>
      <c r="W19" s="30"/>
      <c r="X19" s="30"/>
      <c r="Y19" s="30"/>
      <c r="Z19" s="32"/>
      <c r="AA19" s="32" t="e">
        <f t="shared" ca="1" si="2"/>
        <v>#NAME?</v>
      </c>
      <c r="AB19" s="34"/>
    </row>
    <row r="20" spans="1:28" ht="33">
      <c r="A20" s="46">
        <f t="shared" si="3"/>
        <v>19</v>
      </c>
      <c r="B20" s="34" t="s">
        <v>22</v>
      </c>
      <c r="C20" s="34" t="s">
        <v>23</v>
      </c>
      <c r="D20" s="34">
        <v>20</v>
      </c>
      <c r="E20" s="34">
        <v>7</v>
      </c>
      <c r="F20" s="37">
        <v>2026</v>
      </c>
      <c r="G20" s="40" t="s">
        <v>24</v>
      </c>
      <c r="H20" s="43" t="s">
        <v>97</v>
      </c>
      <c r="I20" s="43" t="s">
        <v>98</v>
      </c>
      <c r="J20" s="34" t="s">
        <v>48</v>
      </c>
      <c r="K20" s="34" t="s">
        <v>27</v>
      </c>
      <c r="L20" s="40" t="s">
        <v>28</v>
      </c>
      <c r="M20" s="40" t="s">
        <v>29</v>
      </c>
      <c r="N20" s="26" t="s">
        <v>30</v>
      </c>
      <c r="O20" s="34"/>
      <c r="P20" s="34"/>
      <c r="Q20" s="34"/>
      <c r="R20" s="34"/>
      <c r="S20" s="28" t="str">
        <f t="shared" ref="S20:U20" si="23">IF(V20&gt;0,"Có","Không")</f>
        <v>Không</v>
      </c>
      <c r="T20" s="28" t="str">
        <f t="shared" si="23"/>
        <v>Không</v>
      </c>
      <c r="U20" s="28" t="str">
        <f t="shared" si="23"/>
        <v>Không</v>
      </c>
      <c r="V20" s="30"/>
      <c r="W20" s="30"/>
      <c r="X20" s="30"/>
      <c r="Y20" s="30"/>
      <c r="Z20" s="32"/>
      <c r="AA20" s="32" t="e">
        <f t="shared" ca="1" si="2"/>
        <v>#NAME?</v>
      </c>
      <c r="AB20" s="34"/>
    </row>
    <row r="21" spans="1:28" ht="33">
      <c r="A21" s="47">
        <f t="shared" si="3"/>
        <v>20</v>
      </c>
      <c r="B21" s="24" t="s">
        <v>22</v>
      </c>
      <c r="C21" s="24" t="s">
        <v>23</v>
      </c>
      <c r="D21" s="24">
        <v>27</v>
      </c>
      <c r="E21" s="24">
        <v>7</v>
      </c>
      <c r="F21" s="38">
        <v>2026</v>
      </c>
      <c r="G21" s="39" t="s">
        <v>24</v>
      </c>
      <c r="H21" s="44" t="s">
        <v>99</v>
      </c>
      <c r="I21" s="44" t="s">
        <v>100</v>
      </c>
      <c r="J21" s="24" t="s">
        <v>48</v>
      </c>
      <c r="K21" s="24" t="s">
        <v>27</v>
      </c>
      <c r="L21" s="39" t="s">
        <v>28</v>
      </c>
      <c r="M21" s="39" t="s">
        <v>29</v>
      </c>
      <c r="N21" s="41" t="s">
        <v>30</v>
      </c>
      <c r="O21" s="34"/>
      <c r="P21" s="34"/>
      <c r="Q21" s="34"/>
      <c r="R21" s="34"/>
      <c r="S21" s="28" t="str">
        <f t="shared" ref="S21:U21" si="24">IF(V21&gt;0,"Có","Không")</f>
        <v>Không</v>
      </c>
      <c r="T21" s="28" t="str">
        <f t="shared" si="24"/>
        <v>Không</v>
      </c>
      <c r="U21" s="28" t="str">
        <f t="shared" si="24"/>
        <v>Không</v>
      </c>
      <c r="V21" s="30"/>
      <c r="W21" s="30"/>
      <c r="X21" s="30"/>
      <c r="Y21" s="30"/>
      <c r="Z21" s="32"/>
      <c r="AA21" s="32" t="e">
        <f t="shared" ca="1" si="2"/>
        <v>#NAME?</v>
      </c>
      <c r="AB21" s="34"/>
    </row>
    <row r="22" spans="1:28" ht="33">
      <c r="A22" s="46">
        <f t="shared" si="3"/>
        <v>21</v>
      </c>
      <c r="B22" s="34" t="s">
        <v>22</v>
      </c>
      <c r="C22" s="34" t="s">
        <v>23</v>
      </c>
      <c r="D22" s="34">
        <v>10</v>
      </c>
      <c r="E22" s="34">
        <v>8</v>
      </c>
      <c r="F22" s="37">
        <v>2026</v>
      </c>
      <c r="G22" s="40" t="s">
        <v>24</v>
      </c>
      <c r="H22" s="43" t="s">
        <v>101</v>
      </c>
      <c r="I22" s="43" t="s">
        <v>59</v>
      </c>
      <c r="J22" s="34" t="s">
        <v>48</v>
      </c>
      <c r="K22" s="34" t="s">
        <v>27</v>
      </c>
      <c r="L22" s="40" t="s">
        <v>28</v>
      </c>
      <c r="M22" s="40" t="s">
        <v>29</v>
      </c>
      <c r="N22" s="26" t="s">
        <v>30</v>
      </c>
      <c r="O22" s="34"/>
      <c r="P22" s="34"/>
      <c r="Q22" s="34"/>
      <c r="R22" s="34"/>
      <c r="S22" s="28" t="str">
        <f t="shared" ref="S22:U22" si="25">IF(V22&gt;0,"Có","Không")</f>
        <v>Không</v>
      </c>
      <c r="T22" s="28" t="str">
        <f t="shared" si="25"/>
        <v>Không</v>
      </c>
      <c r="U22" s="28" t="str">
        <f t="shared" si="25"/>
        <v>Không</v>
      </c>
      <c r="V22" s="30"/>
      <c r="W22" s="30"/>
      <c r="X22" s="30"/>
      <c r="Y22" s="30"/>
      <c r="Z22" s="32"/>
      <c r="AA22" s="32" t="e">
        <f t="shared" ca="1" si="2"/>
        <v>#NAME?</v>
      </c>
      <c r="AB22" s="34"/>
    </row>
    <row r="23" spans="1:28" ht="49.5">
      <c r="A23" s="47">
        <f t="shared" si="3"/>
        <v>22</v>
      </c>
      <c r="B23" s="24" t="s">
        <v>22</v>
      </c>
      <c r="C23" s="24" t="s">
        <v>23</v>
      </c>
      <c r="D23" s="24">
        <v>17</v>
      </c>
      <c r="E23" s="24">
        <v>8</v>
      </c>
      <c r="F23" s="38">
        <v>2026</v>
      </c>
      <c r="G23" s="39" t="s">
        <v>24</v>
      </c>
      <c r="H23" s="44" t="s">
        <v>102</v>
      </c>
      <c r="I23" s="44" t="s">
        <v>103</v>
      </c>
      <c r="J23" s="24" t="s">
        <v>48</v>
      </c>
      <c r="K23" s="24" t="s">
        <v>27</v>
      </c>
      <c r="L23" s="39" t="s">
        <v>28</v>
      </c>
      <c r="M23" s="39" t="s">
        <v>29</v>
      </c>
      <c r="N23" s="41" t="s">
        <v>30</v>
      </c>
      <c r="O23" s="34"/>
      <c r="P23" s="34"/>
      <c r="Q23" s="34"/>
      <c r="R23" s="34"/>
      <c r="S23" s="28" t="str">
        <f t="shared" ref="S23:U23" si="26">IF(V23&gt;0,"Có","Không")</f>
        <v>Không</v>
      </c>
      <c r="T23" s="28" t="str">
        <f t="shared" si="26"/>
        <v>Không</v>
      </c>
      <c r="U23" s="28" t="str">
        <f t="shared" si="26"/>
        <v>Không</v>
      </c>
      <c r="V23" s="30"/>
      <c r="W23" s="30"/>
      <c r="X23" s="30"/>
      <c r="Y23" s="30"/>
      <c r="Z23" s="32"/>
      <c r="AA23" s="32" t="e">
        <f t="shared" ca="1" si="2"/>
        <v>#NAME?</v>
      </c>
      <c r="AB23" s="34"/>
    </row>
    <row r="24" spans="1:28" ht="33">
      <c r="A24" s="46">
        <f t="shared" si="3"/>
        <v>23</v>
      </c>
      <c r="B24" s="34" t="s">
        <v>22</v>
      </c>
      <c r="C24" s="34" t="s">
        <v>23</v>
      </c>
      <c r="D24" s="34">
        <v>24</v>
      </c>
      <c r="E24" s="34">
        <v>8</v>
      </c>
      <c r="F24" s="37">
        <v>2026</v>
      </c>
      <c r="G24" s="40" t="s">
        <v>24</v>
      </c>
      <c r="H24" s="42" t="s">
        <v>104</v>
      </c>
      <c r="I24" s="42" t="s">
        <v>105</v>
      </c>
      <c r="J24" s="34" t="s">
        <v>48</v>
      </c>
      <c r="K24" s="34" t="s">
        <v>27</v>
      </c>
      <c r="L24" s="40" t="s">
        <v>28</v>
      </c>
      <c r="M24" s="40" t="s">
        <v>29</v>
      </c>
      <c r="N24" s="26" t="s">
        <v>30</v>
      </c>
      <c r="O24" s="34"/>
      <c r="P24" s="34"/>
      <c r="Q24" s="34"/>
      <c r="R24" s="34"/>
      <c r="S24" s="28" t="str">
        <f t="shared" ref="S24:U24" si="27">IF(V24&gt;0,"Có","Không")</f>
        <v>Không</v>
      </c>
      <c r="T24" s="28" t="str">
        <f t="shared" si="27"/>
        <v>Không</v>
      </c>
      <c r="U24" s="28" t="str">
        <f t="shared" si="27"/>
        <v>Không</v>
      </c>
      <c r="V24" s="30"/>
      <c r="W24" s="30"/>
      <c r="X24" s="30"/>
      <c r="Y24" s="30"/>
      <c r="Z24" s="32"/>
      <c r="AA24" s="32" t="e">
        <f t="shared" ca="1" si="2"/>
        <v>#NAME?</v>
      </c>
      <c r="AB24" s="34"/>
    </row>
    <row r="25" spans="1:28" ht="33">
      <c r="A25" s="47">
        <f t="shared" si="3"/>
        <v>24</v>
      </c>
      <c r="B25" s="24" t="s">
        <v>22</v>
      </c>
      <c r="C25" s="24" t="s">
        <v>23</v>
      </c>
      <c r="D25" s="24">
        <v>7</v>
      </c>
      <c r="E25" s="24">
        <v>9</v>
      </c>
      <c r="F25" s="38">
        <v>2026</v>
      </c>
      <c r="G25" s="39" t="s">
        <v>24</v>
      </c>
      <c r="H25" s="43" t="s">
        <v>106</v>
      </c>
      <c r="I25" s="43" t="s">
        <v>80</v>
      </c>
      <c r="J25" s="24" t="s">
        <v>48</v>
      </c>
      <c r="K25" s="24" t="s">
        <v>27</v>
      </c>
      <c r="L25" s="39" t="s">
        <v>28</v>
      </c>
      <c r="M25" s="39" t="s">
        <v>29</v>
      </c>
      <c r="N25" s="41" t="s">
        <v>30</v>
      </c>
      <c r="O25" s="34"/>
      <c r="P25" s="34"/>
      <c r="Q25" s="34"/>
      <c r="R25" s="34"/>
      <c r="S25" s="28" t="str">
        <f t="shared" ref="S25:U25" si="28">IF(V25&gt;0,"Có","Không")</f>
        <v>Không</v>
      </c>
      <c r="T25" s="28" t="str">
        <f t="shared" si="28"/>
        <v>Không</v>
      </c>
      <c r="U25" s="28" t="str">
        <f t="shared" si="28"/>
        <v>Không</v>
      </c>
      <c r="V25" s="30"/>
      <c r="W25" s="30"/>
      <c r="X25" s="30"/>
      <c r="Y25" s="30"/>
      <c r="Z25" s="32"/>
      <c r="AA25" s="32" t="e">
        <f t="shared" ca="1" si="2"/>
        <v>#NAME?</v>
      </c>
      <c r="AB25" s="34"/>
    </row>
    <row r="26" spans="1:28" ht="33">
      <c r="A26" s="46">
        <f t="shared" si="3"/>
        <v>25</v>
      </c>
      <c r="B26" s="34" t="s">
        <v>22</v>
      </c>
      <c r="C26" s="34" t="s">
        <v>23</v>
      </c>
      <c r="D26" s="34">
        <v>14</v>
      </c>
      <c r="E26" s="34">
        <v>9</v>
      </c>
      <c r="F26" s="37">
        <v>2026</v>
      </c>
      <c r="G26" s="40" t="s">
        <v>24</v>
      </c>
      <c r="H26" s="43" t="s">
        <v>107</v>
      </c>
      <c r="I26" s="43" t="s">
        <v>108</v>
      </c>
      <c r="J26" s="34" t="s">
        <v>48</v>
      </c>
      <c r="K26" s="34" t="s">
        <v>27</v>
      </c>
      <c r="L26" s="40" t="s">
        <v>28</v>
      </c>
      <c r="M26" s="40" t="s">
        <v>29</v>
      </c>
      <c r="N26" s="26" t="s">
        <v>30</v>
      </c>
      <c r="O26" s="34"/>
      <c r="P26" s="34"/>
      <c r="Q26" s="34"/>
      <c r="R26" s="34"/>
      <c r="S26" s="28" t="str">
        <f t="shared" ref="S26:U26" si="29">IF(V26&gt;0,"Có","Không")</f>
        <v>Không</v>
      </c>
      <c r="T26" s="28" t="str">
        <f t="shared" si="29"/>
        <v>Không</v>
      </c>
      <c r="U26" s="28" t="str">
        <f t="shared" si="29"/>
        <v>Không</v>
      </c>
      <c r="V26" s="30"/>
      <c r="W26" s="30"/>
      <c r="X26" s="30"/>
      <c r="Y26" s="30"/>
      <c r="Z26" s="32"/>
      <c r="AA26" s="32" t="e">
        <f t="shared" ca="1" si="2"/>
        <v>#NAME?</v>
      </c>
      <c r="AB26" s="34"/>
    </row>
    <row r="27" spans="1:28" ht="60">
      <c r="A27" s="47">
        <f t="shared" si="3"/>
        <v>26</v>
      </c>
      <c r="B27" s="24" t="s">
        <v>22</v>
      </c>
      <c r="C27" s="24" t="s">
        <v>23</v>
      </c>
      <c r="D27" s="24">
        <v>21</v>
      </c>
      <c r="E27" s="24">
        <v>9</v>
      </c>
      <c r="F27" s="38">
        <v>2026</v>
      </c>
      <c r="G27" s="39" t="s">
        <v>24</v>
      </c>
      <c r="H27" s="43" t="s">
        <v>109</v>
      </c>
      <c r="I27" s="43" t="s">
        <v>110</v>
      </c>
      <c r="J27" s="24" t="s">
        <v>43</v>
      </c>
      <c r="K27" s="24" t="s">
        <v>111</v>
      </c>
      <c r="L27" s="39" t="s">
        <v>28</v>
      </c>
      <c r="M27" s="39" t="s">
        <v>29</v>
      </c>
      <c r="N27" s="41" t="s">
        <v>30</v>
      </c>
      <c r="O27" s="34"/>
      <c r="P27" s="34"/>
      <c r="Q27" s="34"/>
      <c r="R27" s="34"/>
      <c r="S27" s="28" t="str">
        <f t="shared" ref="S27:U27" si="30">IF(V27&gt;0,"Có","Không")</f>
        <v>Không</v>
      </c>
      <c r="T27" s="28" t="str">
        <f t="shared" si="30"/>
        <v>Không</v>
      </c>
      <c r="U27" s="28" t="str">
        <f t="shared" si="30"/>
        <v>Không</v>
      </c>
      <c r="V27" s="30"/>
      <c r="W27" s="30"/>
      <c r="X27" s="30"/>
      <c r="Y27" s="30"/>
      <c r="Z27" s="32"/>
      <c r="AA27" s="32" t="e">
        <f t="shared" ca="1" si="2"/>
        <v>#NAME?</v>
      </c>
      <c r="AB27" s="34"/>
    </row>
    <row r="28" spans="1:28" ht="33">
      <c r="A28" s="46">
        <f t="shared" si="3"/>
        <v>27</v>
      </c>
      <c r="B28" s="34" t="s">
        <v>22</v>
      </c>
      <c r="C28" s="34" t="s">
        <v>23</v>
      </c>
      <c r="D28" s="34">
        <v>5</v>
      </c>
      <c r="E28" s="34">
        <v>10</v>
      </c>
      <c r="F28" s="37">
        <v>2026</v>
      </c>
      <c r="G28" s="40" t="s">
        <v>24</v>
      </c>
      <c r="H28" s="42" t="s">
        <v>112</v>
      </c>
      <c r="I28" s="42" t="s">
        <v>113</v>
      </c>
      <c r="J28" s="34" t="s">
        <v>48</v>
      </c>
      <c r="K28" s="34" t="s">
        <v>27</v>
      </c>
      <c r="L28" s="34" t="s">
        <v>28</v>
      </c>
      <c r="M28" s="34" t="s">
        <v>29</v>
      </c>
      <c r="N28" s="25" t="s">
        <v>30</v>
      </c>
      <c r="O28" s="24"/>
      <c r="P28" s="24"/>
      <c r="Q28" s="24"/>
      <c r="R28" s="24"/>
      <c r="S28" s="28" t="str">
        <f t="shared" ref="S28:U28" si="31">IF(V28&gt;0,"Có","Không")</f>
        <v>Không</v>
      </c>
      <c r="T28" s="28" t="str">
        <f t="shared" si="31"/>
        <v>Không</v>
      </c>
      <c r="U28" s="28" t="str">
        <f t="shared" si="31"/>
        <v>Không</v>
      </c>
      <c r="V28" s="36"/>
      <c r="W28" s="36"/>
      <c r="X28" s="36"/>
      <c r="Y28" s="36"/>
      <c r="Z28" s="32"/>
      <c r="AA28" s="32" t="e">
        <f t="shared" ca="1" si="2"/>
        <v>#NAME?</v>
      </c>
      <c r="AB28" s="24"/>
    </row>
    <row r="29" spans="1:28" ht="33">
      <c r="A29" s="47">
        <f t="shared" si="3"/>
        <v>28</v>
      </c>
      <c r="B29" s="24" t="s">
        <v>22</v>
      </c>
      <c r="C29" s="24" t="s">
        <v>23</v>
      </c>
      <c r="D29" s="24">
        <v>12</v>
      </c>
      <c r="E29" s="24">
        <v>10</v>
      </c>
      <c r="F29" s="38">
        <v>2026</v>
      </c>
      <c r="G29" s="39" t="s">
        <v>24</v>
      </c>
      <c r="H29" s="42" t="s">
        <v>114</v>
      </c>
      <c r="I29" s="42" t="s">
        <v>113</v>
      </c>
      <c r="J29" s="24" t="s">
        <v>48</v>
      </c>
      <c r="K29" s="24" t="s">
        <v>27</v>
      </c>
      <c r="L29" s="24" t="s">
        <v>28</v>
      </c>
      <c r="M29" s="24" t="s">
        <v>29</v>
      </c>
      <c r="N29" s="33" t="s">
        <v>30</v>
      </c>
      <c r="O29" s="34"/>
      <c r="P29" s="34"/>
      <c r="Q29" s="34"/>
      <c r="R29" s="34"/>
      <c r="S29" s="28" t="str">
        <f t="shared" ref="S29:U29" si="32">IF(V29&gt;0,"Có","Không")</f>
        <v>Không</v>
      </c>
      <c r="T29" s="28" t="str">
        <f t="shared" si="32"/>
        <v>Không</v>
      </c>
      <c r="U29" s="28" t="str">
        <f t="shared" si="32"/>
        <v>Không</v>
      </c>
      <c r="V29" s="36"/>
      <c r="W29" s="36"/>
      <c r="X29" s="36"/>
      <c r="Y29" s="36"/>
      <c r="Z29" s="32"/>
      <c r="AA29" s="32" t="e">
        <f t="shared" ca="1" si="2"/>
        <v>#NAME?</v>
      </c>
      <c r="AB29" s="34"/>
    </row>
    <row r="30" spans="1:28" ht="33">
      <c r="A30" s="46">
        <f t="shared" si="3"/>
        <v>29</v>
      </c>
      <c r="B30" s="34" t="s">
        <v>22</v>
      </c>
      <c r="C30" s="34" t="s">
        <v>23</v>
      </c>
      <c r="D30" s="34">
        <v>29</v>
      </c>
      <c r="E30" s="34">
        <v>10</v>
      </c>
      <c r="F30" s="37">
        <v>2026</v>
      </c>
      <c r="G30" s="40" t="s">
        <v>24</v>
      </c>
      <c r="H30" s="43" t="s">
        <v>115</v>
      </c>
      <c r="I30" s="43" t="s">
        <v>48</v>
      </c>
      <c r="J30" s="34" t="s">
        <v>48</v>
      </c>
      <c r="K30" s="34" t="s">
        <v>27</v>
      </c>
      <c r="L30" s="34" t="s">
        <v>28</v>
      </c>
      <c r="M30" s="34" t="s">
        <v>29</v>
      </c>
      <c r="N30" s="25" t="s">
        <v>30</v>
      </c>
      <c r="O30" s="24"/>
      <c r="P30" s="24"/>
      <c r="Q30" s="24"/>
      <c r="R30" s="24"/>
      <c r="S30" s="28" t="str">
        <f t="shared" ref="S30:U30" si="33">IF(V30&gt;0,"Có","Không")</f>
        <v>Không</v>
      </c>
      <c r="T30" s="28" t="str">
        <f t="shared" si="33"/>
        <v>Không</v>
      </c>
      <c r="U30" s="28" t="str">
        <f t="shared" si="33"/>
        <v>Không</v>
      </c>
      <c r="V30" s="36"/>
      <c r="W30" s="36"/>
      <c r="X30" s="36"/>
      <c r="Y30" s="36"/>
      <c r="Z30" s="32"/>
      <c r="AA30" s="32" t="e">
        <f t="shared" ca="1" si="2"/>
        <v>#NAME?</v>
      </c>
      <c r="AB30" s="24"/>
    </row>
    <row r="31" spans="1:28" ht="33">
      <c r="A31" s="47">
        <f t="shared" si="3"/>
        <v>30</v>
      </c>
      <c r="B31" s="24" t="s">
        <v>22</v>
      </c>
      <c r="C31" s="24" t="s">
        <v>23</v>
      </c>
      <c r="D31" s="24">
        <v>9</v>
      </c>
      <c r="E31" s="24">
        <v>11</v>
      </c>
      <c r="F31" s="38">
        <v>2026</v>
      </c>
      <c r="G31" s="39" t="s">
        <v>24</v>
      </c>
      <c r="H31" s="42" t="s">
        <v>116</v>
      </c>
      <c r="I31" s="42" t="s">
        <v>117</v>
      </c>
      <c r="J31" s="24" t="s">
        <v>48</v>
      </c>
      <c r="K31" s="24" t="s">
        <v>27</v>
      </c>
      <c r="L31" s="24" t="s">
        <v>28</v>
      </c>
      <c r="M31" s="24" t="s">
        <v>29</v>
      </c>
      <c r="N31" s="33" t="s">
        <v>30</v>
      </c>
      <c r="O31" s="34"/>
      <c r="P31" s="34"/>
      <c r="Q31" s="34"/>
      <c r="R31" s="34"/>
      <c r="S31" s="28" t="str">
        <f t="shared" ref="S31:U31" si="34">IF(V31&gt;0,"Có","Không")</f>
        <v>Không</v>
      </c>
      <c r="T31" s="28" t="str">
        <f t="shared" si="34"/>
        <v>Không</v>
      </c>
      <c r="U31" s="28" t="str">
        <f t="shared" si="34"/>
        <v>Không</v>
      </c>
      <c r="V31" s="36"/>
      <c r="W31" s="36"/>
      <c r="X31" s="36"/>
      <c r="Y31" s="36"/>
      <c r="Z31" s="32"/>
      <c r="AA31" s="32" t="e">
        <f t="shared" ca="1" si="2"/>
        <v>#NAME?</v>
      </c>
      <c r="AB31" s="34"/>
    </row>
    <row r="32" spans="1:28" ht="33">
      <c r="A32" s="46">
        <f t="shared" si="3"/>
        <v>31</v>
      </c>
      <c r="B32" s="34" t="s">
        <v>22</v>
      </c>
      <c r="C32" s="34" t="s">
        <v>23</v>
      </c>
      <c r="D32" s="34">
        <v>16</v>
      </c>
      <c r="E32" s="34">
        <v>11</v>
      </c>
      <c r="F32" s="37">
        <v>2026</v>
      </c>
      <c r="G32" s="40" t="s">
        <v>24</v>
      </c>
      <c r="H32" s="43" t="s">
        <v>118</v>
      </c>
      <c r="I32" s="43" t="s">
        <v>34</v>
      </c>
      <c r="J32" s="34" t="s">
        <v>48</v>
      </c>
      <c r="K32" s="34" t="s">
        <v>27</v>
      </c>
      <c r="L32" s="34" t="s">
        <v>28</v>
      </c>
      <c r="M32" s="34" t="s">
        <v>29</v>
      </c>
      <c r="N32" s="25" t="s">
        <v>30</v>
      </c>
      <c r="O32" s="24"/>
      <c r="P32" s="24"/>
      <c r="Q32" s="24"/>
      <c r="R32" s="24"/>
      <c r="S32" s="28" t="str">
        <f t="shared" ref="S32:U32" si="35">IF(V32&gt;0,"Có","Không")</f>
        <v>Không</v>
      </c>
      <c r="T32" s="28" t="str">
        <f t="shared" si="35"/>
        <v>Không</v>
      </c>
      <c r="U32" s="28" t="str">
        <f t="shared" si="35"/>
        <v>Không</v>
      </c>
      <c r="V32" s="36"/>
      <c r="W32" s="36"/>
      <c r="X32" s="36"/>
      <c r="Y32" s="36"/>
      <c r="Z32" s="32"/>
      <c r="AA32" s="32" t="e">
        <f t="shared" ca="1" si="2"/>
        <v>#NAME?</v>
      </c>
      <c r="AB32" s="24"/>
    </row>
    <row r="33" spans="1:28" ht="33">
      <c r="A33" s="47">
        <f t="shared" si="3"/>
        <v>32</v>
      </c>
      <c r="B33" s="24" t="s">
        <v>22</v>
      </c>
      <c r="C33" s="24" t="s">
        <v>23</v>
      </c>
      <c r="D33" s="24">
        <v>23</v>
      </c>
      <c r="E33" s="24">
        <v>11</v>
      </c>
      <c r="F33" s="38">
        <v>2026</v>
      </c>
      <c r="G33" s="39" t="s">
        <v>24</v>
      </c>
      <c r="H33" s="43" t="s">
        <v>119</v>
      </c>
      <c r="I33" s="43" t="s">
        <v>120</v>
      </c>
      <c r="J33" s="24" t="s">
        <v>48</v>
      </c>
      <c r="K33" s="24" t="s">
        <v>27</v>
      </c>
      <c r="L33" s="24" t="s">
        <v>28</v>
      </c>
      <c r="M33" s="24" t="s">
        <v>29</v>
      </c>
      <c r="N33" s="33" t="s">
        <v>30</v>
      </c>
      <c r="O33" s="34"/>
      <c r="P33" s="34"/>
      <c r="Q33" s="34"/>
      <c r="R33" s="34"/>
      <c r="S33" s="28" t="str">
        <f t="shared" ref="S33:U33" si="36">IF(V33&gt;0,"Có","Không")</f>
        <v>Không</v>
      </c>
      <c r="T33" s="28" t="str">
        <f t="shared" si="36"/>
        <v>Không</v>
      </c>
      <c r="U33" s="28" t="str">
        <f t="shared" si="36"/>
        <v>Không</v>
      </c>
      <c r="V33" s="36"/>
      <c r="W33" s="36"/>
      <c r="X33" s="36"/>
      <c r="Y33" s="36"/>
      <c r="Z33" s="32"/>
      <c r="AA33" s="32" t="e">
        <f t="shared" ca="1" si="2"/>
        <v>#NAME?</v>
      </c>
      <c r="AB33" s="34"/>
    </row>
    <row r="34" spans="1:28" ht="33">
      <c r="A34" s="46">
        <f t="shared" si="3"/>
        <v>33</v>
      </c>
      <c r="B34" s="34" t="s">
        <v>22</v>
      </c>
      <c r="C34" s="34" t="s">
        <v>23</v>
      </c>
      <c r="D34" s="34">
        <v>7</v>
      </c>
      <c r="E34" s="34">
        <v>12</v>
      </c>
      <c r="F34" s="37">
        <v>2026</v>
      </c>
      <c r="G34" s="40" t="s">
        <v>24</v>
      </c>
      <c r="H34" s="45" t="s">
        <v>121</v>
      </c>
      <c r="I34" s="45" t="s">
        <v>122</v>
      </c>
      <c r="J34" s="34" t="s">
        <v>48</v>
      </c>
      <c r="K34" s="34" t="s">
        <v>27</v>
      </c>
      <c r="L34" s="34" t="s">
        <v>28</v>
      </c>
      <c r="M34" s="34" t="s">
        <v>29</v>
      </c>
      <c r="N34" s="25" t="s">
        <v>30</v>
      </c>
      <c r="O34" s="24"/>
      <c r="P34" s="24"/>
      <c r="Q34" s="24"/>
      <c r="R34" s="24"/>
      <c r="S34" s="28" t="str">
        <f t="shared" ref="S34:U34" si="37">IF(V34&gt;0,"Có","Không")</f>
        <v>Không</v>
      </c>
      <c r="T34" s="28" t="str">
        <f t="shared" si="37"/>
        <v>Không</v>
      </c>
      <c r="U34" s="28" t="str">
        <f t="shared" si="37"/>
        <v>Không</v>
      </c>
      <c r="V34" s="36"/>
      <c r="W34" s="36"/>
      <c r="X34" s="36"/>
      <c r="Y34" s="36"/>
      <c r="Z34" s="32"/>
      <c r="AA34" s="32" t="e">
        <f t="shared" ca="1" si="2"/>
        <v>#NAME?</v>
      </c>
      <c r="AB34" s="24"/>
    </row>
    <row r="35" spans="1:28" ht="33">
      <c r="A35" s="47">
        <f t="shared" si="3"/>
        <v>34</v>
      </c>
      <c r="B35" s="24" t="s">
        <v>22</v>
      </c>
      <c r="C35" s="24" t="s">
        <v>23</v>
      </c>
      <c r="D35" s="24">
        <v>14</v>
      </c>
      <c r="E35" s="24">
        <v>12</v>
      </c>
      <c r="F35" s="38">
        <v>2026</v>
      </c>
      <c r="G35" s="39" t="s">
        <v>24</v>
      </c>
      <c r="H35" s="45" t="s">
        <v>123</v>
      </c>
      <c r="I35" s="45" t="s">
        <v>122</v>
      </c>
      <c r="J35" s="24" t="s">
        <v>48</v>
      </c>
      <c r="K35" s="24" t="s">
        <v>27</v>
      </c>
      <c r="L35" s="24" t="s">
        <v>28</v>
      </c>
      <c r="M35" s="24" t="s">
        <v>29</v>
      </c>
      <c r="N35" s="33" t="s">
        <v>30</v>
      </c>
      <c r="O35" s="34"/>
      <c r="P35" s="34"/>
      <c r="Q35" s="34"/>
      <c r="R35" s="34"/>
      <c r="S35" s="28" t="str">
        <f t="shared" ref="S35:U35" si="38">IF(V35&gt;0,"Có","Không")</f>
        <v>Không</v>
      </c>
      <c r="T35" s="28" t="str">
        <f t="shared" si="38"/>
        <v>Không</v>
      </c>
      <c r="U35" s="28" t="str">
        <f t="shared" si="38"/>
        <v>Không</v>
      </c>
      <c r="V35" s="36"/>
      <c r="W35" s="36"/>
      <c r="X35" s="36"/>
      <c r="Y35" s="36"/>
      <c r="Z35" s="32"/>
      <c r="AA35" s="32" t="e">
        <f t="shared" ca="1" si="2"/>
        <v>#NAME?</v>
      </c>
      <c r="AB35" s="34"/>
    </row>
    <row r="36" spans="1:28" ht="33">
      <c r="A36" s="46">
        <f t="shared" si="3"/>
        <v>35</v>
      </c>
      <c r="B36" s="34" t="s">
        <v>22</v>
      </c>
      <c r="C36" s="34" t="s">
        <v>23</v>
      </c>
      <c r="D36" s="34">
        <v>21</v>
      </c>
      <c r="E36" s="34">
        <v>12</v>
      </c>
      <c r="F36" s="37">
        <v>2026</v>
      </c>
      <c r="G36" s="40" t="s">
        <v>24</v>
      </c>
      <c r="H36" s="43" t="s">
        <v>124</v>
      </c>
      <c r="I36" s="43" t="s">
        <v>48</v>
      </c>
      <c r="J36" s="34" t="s">
        <v>48</v>
      </c>
      <c r="K36" s="34" t="s">
        <v>27</v>
      </c>
      <c r="L36" s="34" t="s">
        <v>28</v>
      </c>
      <c r="M36" s="34" t="s">
        <v>29</v>
      </c>
      <c r="N36" s="25" t="s">
        <v>30</v>
      </c>
      <c r="O36" s="24"/>
      <c r="P36" s="24"/>
      <c r="Q36" s="24"/>
      <c r="R36" s="24"/>
      <c r="S36" s="28" t="str">
        <f t="shared" ref="S36:U36" si="39">IF(V36&gt;0,"Có","Không")</f>
        <v>Không</v>
      </c>
      <c r="T36" s="28" t="str">
        <f t="shared" si="39"/>
        <v>Không</v>
      </c>
      <c r="U36" s="28" t="str">
        <f t="shared" si="39"/>
        <v>Không</v>
      </c>
      <c r="V36" s="36"/>
      <c r="W36" s="36"/>
      <c r="X36" s="36"/>
      <c r="Y36" s="36"/>
      <c r="Z36" s="32"/>
      <c r="AA36" s="32" t="e">
        <f t="shared" ca="1" si="2"/>
        <v>#NAME?</v>
      </c>
      <c r="AB36" s="24"/>
    </row>
  </sheetData>
  <dataValidations count="5">
    <dataValidation type="list" allowBlank="1" showErrorMessage="1" sqref="C2:C36" xr:uid="{00000000-0002-0000-0000-000000000000}">
      <formula1>"11h00 - 12h00,15h00 - 16h00"</formula1>
    </dataValidation>
    <dataValidation type="list" allowBlank="1" sqref="B2:B36" xr:uid="{00000000-0002-0000-0000-000001000000}">
      <formula1>"Thứ Hai,Thứ Ba,Thứ Tư,Thứ Năm,Thứ Sáu,Thứ Bảy"</formula1>
    </dataValidation>
    <dataValidation type="list" allowBlank="1" sqref="N2:N27 L2:L36" xr:uid="{00000000-0002-0000-0000-000002000000}">
      <formula1>"Phòng Hành chính khoa,Hội trường 8A,Phòng họp 1A,Phòng họp TGĐ,Phòng họp Chủ tịch"</formula1>
    </dataValidation>
    <dataValidation type="custom" allowBlank="1" showDropDown="1" sqref="A2" xr:uid="{00000000-0002-0000-0000-000003000000}">
      <formula1>AND(ISNUMBER(A2),(NOT(OR(NOT(ISERROR(DATEVALUE(A2))), AND(ISNUMBER(A2), LEFT(CELL("format", A2))="D")))))</formula1>
    </dataValidation>
    <dataValidation type="list" allowBlank="1" sqref="K2:K36" xr:uid="{00000000-0002-0000-0000-000004000000}">
      <formula1>"Bác sĩ,Điều dưỡng,Kỹ thuật Y,Hộ sinh,Khối vận hành,Khác"</formula1>
    </dataValidation>
  </dataValidations>
  <hyperlinks>
    <hyperlink ref="V2" r:id="rId1" xr:uid="{00000000-0004-0000-0000-000000000000}"/>
    <hyperlink ref="X2" r:id="rId2" xr:uid="{00000000-0004-0000-0000-000001000000}"/>
    <hyperlink ref="V3" r:id="rId3" xr:uid="{00000000-0004-0000-0000-000002000000}"/>
    <hyperlink ref="X3" r:id="rId4" xr:uid="{00000000-0004-0000-0000-000003000000}"/>
    <hyperlink ref="V4" r:id="rId5" xr:uid="{00000000-0004-0000-0000-000004000000}"/>
    <hyperlink ref="X4" r:id="rId6" xr:uid="{00000000-0004-0000-0000-000005000000}"/>
    <hyperlink ref="V5" r:id="rId7" xr:uid="{00000000-0004-0000-0000-000006000000}"/>
    <hyperlink ref="X5" r:id="rId8" xr:uid="{00000000-0004-0000-0000-000007000000}"/>
    <hyperlink ref="V6" r:id="rId9" xr:uid="{00000000-0004-0000-0000-000008000000}"/>
    <hyperlink ref="X6" r:id="rId10" xr:uid="{00000000-0004-0000-0000-000009000000}"/>
    <hyperlink ref="V7" r:id="rId11" xr:uid="{00000000-0004-0000-0000-00000A000000}"/>
    <hyperlink ref="X7" r:id="rId12" xr:uid="{00000000-0004-0000-0000-00000B000000}"/>
    <hyperlink ref="V8" r:id="rId13" xr:uid="{00000000-0004-0000-0000-00000C000000}"/>
    <hyperlink ref="X8" r:id="rId14" xr:uid="{00000000-0004-0000-0000-00000D000000}"/>
    <hyperlink ref="V9" r:id="rId15" xr:uid="{00000000-0004-0000-0000-00000E000000}"/>
    <hyperlink ref="X9" r:id="rId16" xr:uid="{00000000-0004-0000-0000-00000F000000}"/>
    <hyperlink ref="V10" r:id="rId17" xr:uid="{00000000-0004-0000-0000-000010000000}"/>
    <hyperlink ref="X10" r:id="rId18" xr:uid="{00000000-0004-0000-0000-000011000000}"/>
    <hyperlink ref="V11" r:id="rId19" xr:uid="{00000000-0004-0000-0000-000012000000}"/>
    <hyperlink ref="W11" r:id="rId20" xr:uid="{00000000-0004-0000-0000-000013000000}"/>
    <hyperlink ref="X11" r:id="rId21" xr:uid="{00000000-0004-0000-0000-000014000000}"/>
    <hyperlink ref="V12" r:id="rId22" xr:uid="{00000000-0004-0000-0000-000015000000}"/>
    <hyperlink ref="W12" r:id="rId23" xr:uid="{00000000-0004-0000-0000-000016000000}"/>
    <hyperlink ref="X12" r:id="rId24" xr:uid="{00000000-0004-0000-0000-000017000000}"/>
    <hyperlink ref="V13" r:id="rId25" xr:uid="{00000000-0004-0000-0000-000018000000}"/>
    <hyperlink ref="W13" r:id="rId26" xr:uid="{00000000-0004-0000-0000-000019000000}"/>
    <hyperlink ref="X13" r:id="rId27" xr:uid="{00000000-0004-0000-0000-00001A000000}"/>
  </hyperlinks>
  <pageMargins left="0.7" right="0.7" top="0.75" bottom="0.75" header="0" footer="0"/>
  <pageSetup fitToHeight="0" orientation="landscape" r:id="rId28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4"/>
  <sheetViews>
    <sheetView workbookViewId="0">
      <selection activeCell="F11" sqref="F11"/>
    </sheetView>
  </sheetViews>
  <sheetFormatPr defaultColWidth="14.42578125" defaultRowHeight="15" customHeight="1"/>
  <cols>
    <col min="2" max="2" width="15.5703125" customWidth="1"/>
    <col min="3" max="3" width="27.140625" customWidth="1"/>
    <col min="4" max="4" width="55.7109375" customWidth="1"/>
    <col min="5" max="5" width="14" customWidth="1"/>
    <col min="6" max="6" width="18" customWidth="1"/>
    <col min="7" max="7" width="28.7109375" customWidth="1"/>
  </cols>
  <sheetData>
    <row r="1" spans="1:7">
      <c r="A1" s="2" t="s">
        <v>0</v>
      </c>
      <c r="B1" s="2" t="s">
        <v>125</v>
      </c>
      <c r="C1" s="2" t="s">
        <v>126</v>
      </c>
      <c r="D1" s="3" t="s">
        <v>127</v>
      </c>
      <c r="E1" s="3" t="s">
        <v>128</v>
      </c>
      <c r="F1" s="3" t="s">
        <v>129</v>
      </c>
      <c r="G1" s="3" t="s">
        <v>130</v>
      </c>
    </row>
    <row r="2" spans="1:7">
      <c r="A2" s="4">
        <v>1</v>
      </c>
      <c r="B2" s="5" t="s">
        <v>131</v>
      </c>
      <c r="C2" s="5" t="s">
        <v>132</v>
      </c>
      <c r="D2" s="6" t="s">
        <v>133</v>
      </c>
      <c r="E2" s="7"/>
      <c r="F2" s="7"/>
      <c r="G2" s="7"/>
    </row>
    <row r="3" spans="1:7">
      <c r="A3" s="4">
        <v>2</v>
      </c>
      <c r="B3" s="5" t="s">
        <v>131</v>
      </c>
      <c r="C3" s="5" t="s">
        <v>134</v>
      </c>
      <c r="D3" s="6" t="s">
        <v>135</v>
      </c>
      <c r="E3" s="6" t="s">
        <v>136</v>
      </c>
      <c r="F3" s="6" t="s">
        <v>137</v>
      </c>
      <c r="G3" s="7"/>
    </row>
    <row r="4" spans="1:7">
      <c r="A4" s="4">
        <v>4</v>
      </c>
      <c r="B4" s="5" t="s">
        <v>131</v>
      </c>
      <c r="C4" s="5" t="s">
        <v>138</v>
      </c>
      <c r="D4" s="6" t="s">
        <v>139</v>
      </c>
      <c r="E4" s="6" t="s">
        <v>136</v>
      </c>
      <c r="F4" s="7"/>
      <c r="G4" s="7"/>
    </row>
    <row r="5" spans="1:7">
      <c r="A5" s="4">
        <v>6</v>
      </c>
      <c r="B5" s="5" t="s">
        <v>131</v>
      </c>
      <c r="C5" s="5" t="s">
        <v>140</v>
      </c>
      <c r="D5" s="6" t="s">
        <v>141</v>
      </c>
      <c r="E5" s="7"/>
      <c r="F5" s="7"/>
      <c r="G5" s="7"/>
    </row>
    <row r="6" spans="1:7">
      <c r="A6" s="8">
        <v>7</v>
      </c>
      <c r="B6" s="9" t="s">
        <v>142</v>
      </c>
      <c r="C6" s="9" t="s">
        <v>143</v>
      </c>
      <c r="D6" s="10" t="s">
        <v>144</v>
      </c>
      <c r="E6" s="11"/>
      <c r="F6" s="10" t="s">
        <v>145</v>
      </c>
      <c r="G6" s="11"/>
    </row>
    <row r="7" spans="1:7">
      <c r="A7" s="8">
        <v>8</v>
      </c>
      <c r="B7" s="9" t="s">
        <v>142</v>
      </c>
      <c r="C7" s="9" t="s">
        <v>146</v>
      </c>
      <c r="D7" s="10" t="s">
        <v>147</v>
      </c>
      <c r="E7" s="11"/>
      <c r="F7" s="11"/>
      <c r="G7" s="11"/>
    </row>
    <row r="8" spans="1:7">
      <c r="A8" s="8">
        <v>9</v>
      </c>
      <c r="B8" s="9" t="s">
        <v>142</v>
      </c>
      <c r="C8" s="9" t="s">
        <v>148</v>
      </c>
      <c r="D8" s="10" t="s">
        <v>149</v>
      </c>
      <c r="E8" s="11"/>
      <c r="F8" s="11"/>
      <c r="G8" s="11"/>
    </row>
    <row r="9" spans="1:7">
      <c r="A9" s="8">
        <v>10</v>
      </c>
      <c r="B9" s="9" t="s">
        <v>142</v>
      </c>
      <c r="C9" s="9" t="s">
        <v>150</v>
      </c>
      <c r="D9" s="10" t="s">
        <v>151</v>
      </c>
      <c r="E9" s="11"/>
      <c r="F9" s="10" t="s">
        <v>152</v>
      </c>
      <c r="G9" s="11"/>
    </row>
    <row r="10" spans="1:7">
      <c r="A10" s="8">
        <v>11</v>
      </c>
      <c r="B10" s="9" t="s">
        <v>142</v>
      </c>
      <c r="C10" s="9" t="s">
        <v>153</v>
      </c>
      <c r="D10" s="10" t="s">
        <v>154</v>
      </c>
      <c r="E10" s="11"/>
      <c r="F10" s="11"/>
      <c r="G10" s="11"/>
    </row>
    <row r="11" spans="1:7">
      <c r="A11" s="8">
        <v>12</v>
      </c>
      <c r="B11" s="9" t="s">
        <v>142</v>
      </c>
      <c r="C11" s="9" t="s">
        <v>155</v>
      </c>
      <c r="D11" s="10" t="s">
        <v>156</v>
      </c>
      <c r="E11" s="11"/>
      <c r="F11" s="11"/>
      <c r="G11" s="11"/>
    </row>
    <row r="12" spans="1:7">
      <c r="A12" s="12">
        <v>13</v>
      </c>
      <c r="B12" s="13" t="s">
        <v>157</v>
      </c>
      <c r="C12" s="13" t="s">
        <v>158</v>
      </c>
      <c r="D12" s="14" t="s">
        <v>159</v>
      </c>
      <c r="E12" s="15"/>
      <c r="F12" s="15"/>
      <c r="G12" s="15"/>
    </row>
    <row r="13" spans="1:7">
      <c r="A13" s="12">
        <v>14</v>
      </c>
      <c r="B13" s="13" t="s">
        <v>157</v>
      </c>
      <c r="C13" s="13" t="s">
        <v>160</v>
      </c>
      <c r="D13" s="14" t="s">
        <v>161</v>
      </c>
      <c r="E13" s="15"/>
      <c r="F13" s="15"/>
      <c r="G13" s="15"/>
    </row>
    <row r="14" spans="1:7">
      <c r="A14" s="12">
        <v>15</v>
      </c>
      <c r="B14" s="13" t="s">
        <v>157</v>
      </c>
      <c r="C14" s="13" t="s">
        <v>162</v>
      </c>
      <c r="D14" s="14" t="s">
        <v>163</v>
      </c>
      <c r="E14" s="15"/>
      <c r="F14" s="15"/>
      <c r="G14" s="15"/>
    </row>
    <row r="15" spans="1:7">
      <c r="A15" s="16">
        <v>16</v>
      </c>
      <c r="B15" s="17" t="s">
        <v>164</v>
      </c>
      <c r="C15" s="17" t="s">
        <v>165</v>
      </c>
      <c r="D15" s="18" t="s">
        <v>166</v>
      </c>
      <c r="E15" s="19"/>
      <c r="F15" s="19"/>
      <c r="G15" s="19"/>
    </row>
    <row r="16" spans="1:7">
      <c r="A16" s="16">
        <v>17</v>
      </c>
      <c r="B16" s="17" t="s">
        <v>164</v>
      </c>
      <c r="C16" s="17" t="s">
        <v>167</v>
      </c>
      <c r="D16" s="18" t="s">
        <v>168</v>
      </c>
      <c r="E16" s="19"/>
      <c r="F16" s="19"/>
      <c r="G16" s="19"/>
    </row>
    <row r="17" spans="1:7">
      <c r="A17" s="16">
        <v>18</v>
      </c>
      <c r="B17" s="17" t="s">
        <v>164</v>
      </c>
      <c r="C17" s="17" t="s">
        <v>169</v>
      </c>
      <c r="D17" s="18" t="s">
        <v>170</v>
      </c>
      <c r="E17" s="19"/>
      <c r="F17" s="19"/>
      <c r="G17" s="19"/>
    </row>
    <row r="18" spans="1:7">
      <c r="A18" s="16">
        <v>19</v>
      </c>
      <c r="B18" s="17" t="s">
        <v>164</v>
      </c>
      <c r="C18" s="17" t="s">
        <v>171</v>
      </c>
      <c r="D18" s="18" t="s">
        <v>172</v>
      </c>
      <c r="E18" s="19"/>
      <c r="F18" s="19"/>
      <c r="G18" s="19"/>
    </row>
    <row r="19" spans="1:7">
      <c r="A19" s="16">
        <v>20</v>
      </c>
      <c r="B19" s="17" t="s">
        <v>164</v>
      </c>
      <c r="C19" s="17" t="s">
        <v>173</v>
      </c>
      <c r="D19" s="18" t="s">
        <v>174</v>
      </c>
      <c r="E19" s="19"/>
      <c r="F19" s="19"/>
      <c r="G19" s="19"/>
    </row>
    <row r="20" spans="1:7">
      <c r="A20" s="20">
        <v>21</v>
      </c>
      <c r="B20" s="21" t="s">
        <v>175</v>
      </c>
      <c r="C20" s="21" t="s">
        <v>176</v>
      </c>
      <c r="D20" s="22" t="s">
        <v>177</v>
      </c>
      <c r="E20" s="23"/>
      <c r="F20" s="23"/>
      <c r="G20" s="23"/>
    </row>
    <row r="21" spans="1:7">
      <c r="A21" s="20">
        <v>22</v>
      </c>
      <c r="B21" s="21" t="s">
        <v>175</v>
      </c>
      <c r="C21" s="21" t="s">
        <v>178</v>
      </c>
      <c r="D21" s="22" t="s">
        <v>179</v>
      </c>
      <c r="E21" s="23"/>
      <c r="F21" s="23"/>
      <c r="G21" s="23"/>
    </row>
    <row r="22" spans="1:7">
      <c r="A22" s="20">
        <v>23</v>
      </c>
      <c r="B22" s="21" t="s">
        <v>175</v>
      </c>
      <c r="C22" s="21" t="s">
        <v>180</v>
      </c>
      <c r="D22" s="22" t="s">
        <v>181</v>
      </c>
      <c r="E22" s="23"/>
      <c r="F22" s="23"/>
      <c r="G22" s="23"/>
    </row>
    <row r="23" spans="1:7">
      <c r="A23" s="20">
        <v>24</v>
      </c>
      <c r="B23" s="21" t="s">
        <v>175</v>
      </c>
      <c r="C23" s="21" t="s">
        <v>182</v>
      </c>
      <c r="D23" s="22" t="s">
        <v>183</v>
      </c>
      <c r="E23" s="23"/>
      <c r="F23" s="23"/>
      <c r="G23" s="23"/>
    </row>
    <row r="24" spans="1:7">
      <c r="A24" s="20">
        <v>25</v>
      </c>
      <c r="B24" s="21" t="s">
        <v>175</v>
      </c>
      <c r="C24" s="21" t="s">
        <v>184</v>
      </c>
      <c r="D24" s="22" t="s">
        <v>185</v>
      </c>
      <c r="E24" s="23"/>
      <c r="F24" s="23"/>
      <c r="G2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 hoạch</vt:lpstr>
      <vt:lpstr>Quy trình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2026-05-21T09:50:32Z</dcterms:modified>
</cp:coreProperties>
</file>