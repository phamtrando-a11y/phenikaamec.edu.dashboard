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10" documentId="11_ECDB52BAB7C4B83922500B473D5CBC78E848AC58" xr6:coauthVersionLast="47" xr6:coauthVersionMax="47" xr10:uidLastSave="{3F715F91-E47C-2844-9FAC-5428C20A6FAE}"/>
  <bookViews>
    <workbookView xWindow="0" yWindow="660" windowWidth="22920" windowHeight="13760" activeTab="1" xr2:uid="{00000000-000D-0000-FFFF-FFFF00000000}"/>
  </bookViews>
  <sheets>
    <sheet name="Quy trình" sheetId="1" r:id="rId1"/>
    <sheet name="Kế Hoạch" sheetId="2" r:id="rId2"/>
  </sheets>
  <definedNames>
    <definedName name="_xlnm._FilterDatabase" localSheetId="1" hidden="1">'Kế Hoạch'!$A$1:$AA$53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3" i="2" l="1"/>
  <c r="U53" i="2"/>
  <c r="T53" i="2"/>
  <c r="S53" i="2"/>
  <c r="Z52" i="2"/>
  <c r="U52" i="2"/>
  <c r="T52" i="2"/>
  <c r="S52" i="2"/>
  <c r="Z51" i="2"/>
  <c r="U51" i="2"/>
  <c r="T51" i="2"/>
  <c r="S51" i="2"/>
  <c r="Z50" i="2"/>
  <c r="U50" i="2"/>
  <c r="T50" i="2"/>
  <c r="S50" i="2"/>
  <c r="Z49" i="2"/>
  <c r="U49" i="2"/>
  <c r="T49" i="2"/>
  <c r="S49" i="2"/>
  <c r="Z48" i="2"/>
  <c r="U48" i="2"/>
  <c r="T48" i="2"/>
  <c r="S48" i="2"/>
  <c r="Z47" i="2"/>
  <c r="U47" i="2"/>
  <c r="T47" i="2"/>
  <c r="S47" i="2"/>
  <c r="Z46" i="2"/>
  <c r="U46" i="2"/>
  <c r="T46" i="2"/>
  <c r="S46" i="2"/>
  <c r="Z45" i="2"/>
  <c r="U45" i="2"/>
  <c r="T45" i="2"/>
  <c r="S45" i="2"/>
  <c r="Z44" i="2"/>
  <c r="U44" i="2"/>
  <c r="T44" i="2"/>
  <c r="S44" i="2"/>
  <c r="Z43" i="2"/>
  <c r="U43" i="2"/>
  <c r="T43" i="2"/>
  <c r="S43" i="2"/>
  <c r="Z42" i="2"/>
  <c r="U42" i="2"/>
  <c r="T42" i="2"/>
  <c r="S42" i="2"/>
  <c r="Z41" i="2"/>
  <c r="U41" i="2"/>
  <c r="T41" i="2"/>
  <c r="S41" i="2"/>
  <c r="Z40" i="2"/>
  <c r="U40" i="2"/>
  <c r="T40" i="2"/>
  <c r="S40" i="2"/>
  <c r="Z39" i="2"/>
  <c r="U39" i="2"/>
  <c r="T39" i="2"/>
  <c r="S39" i="2"/>
  <c r="Z38" i="2"/>
  <c r="U38" i="2"/>
  <c r="T38" i="2"/>
  <c r="S38" i="2"/>
  <c r="Z37" i="2"/>
  <c r="U37" i="2"/>
  <c r="T37" i="2"/>
  <c r="S37" i="2"/>
  <c r="Z36" i="2"/>
  <c r="U36" i="2"/>
  <c r="T36" i="2"/>
  <c r="S36" i="2"/>
  <c r="Z35" i="2"/>
  <c r="U35" i="2"/>
  <c r="T35" i="2"/>
  <c r="S35" i="2"/>
  <c r="Z34" i="2"/>
  <c r="U34" i="2"/>
  <c r="T34" i="2"/>
  <c r="S34" i="2"/>
  <c r="Z33" i="2"/>
  <c r="U33" i="2"/>
  <c r="T33" i="2"/>
  <c r="S33" i="2"/>
  <c r="Z32" i="2"/>
  <c r="U32" i="2"/>
  <c r="T32" i="2"/>
  <c r="S32" i="2"/>
  <c r="Z31" i="2"/>
  <c r="U31" i="2"/>
  <c r="T31" i="2"/>
  <c r="S31" i="2"/>
  <c r="Z30" i="2"/>
  <c r="U30" i="2"/>
  <c r="T30" i="2"/>
  <c r="S30" i="2"/>
  <c r="Z29" i="2"/>
  <c r="U29" i="2"/>
  <c r="T29" i="2"/>
  <c r="S29" i="2"/>
  <c r="Z28" i="2"/>
  <c r="U28" i="2"/>
  <c r="T28" i="2"/>
  <c r="S28" i="2"/>
  <c r="Z27" i="2"/>
  <c r="U27" i="2"/>
  <c r="T27" i="2"/>
  <c r="S27" i="2"/>
  <c r="Z26" i="2"/>
  <c r="U26" i="2"/>
  <c r="T26" i="2"/>
  <c r="S26" i="2"/>
  <c r="Z25" i="2"/>
  <c r="U25" i="2"/>
  <c r="T25" i="2"/>
  <c r="S25" i="2"/>
  <c r="Z24" i="2"/>
  <c r="U24" i="2"/>
  <c r="T24" i="2"/>
  <c r="S24" i="2"/>
  <c r="Z23" i="2"/>
  <c r="U23" i="2"/>
  <c r="T23" i="2"/>
  <c r="S23" i="2"/>
  <c r="Z22" i="2"/>
  <c r="U22" i="2"/>
  <c r="T22" i="2"/>
  <c r="S22" i="2"/>
  <c r="Z21" i="2"/>
  <c r="U21" i="2"/>
  <c r="T21" i="2"/>
  <c r="S21" i="2"/>
  <c r="Z20" i="2"/>
  <c r="U20" i="2"/>
  <c r="T20" i="2"/>
  <c r="S20" i="2"/>
  <c r="Z19" i="2"/>
  <c r="U19" i="2"/>
  <c r="T19" i="2"/>
  <c r="S19" i="2"/>
  <c r="Z18" i="2"/>
  <c r="U18" i="2"/>
  <c r="T18" i="2"/>
  <c r="S18" i="2"/>
  <c r="Z17" i="2"/>
  <c r="U17" i="2"/>
  <c r="T17" i="2"/>
  <c r="S17" i="2"/>
  <c r="Z16" i="2"/>
  <c r="U16" i="2"/>
  <c r="T16" i="2"/>
  <c r="S16" i="2"/>
  <c r="Z15" i="2"/>
  <c r="U15" i="2"/>
  <c r="T15" i="2"/>
  <c r="S15" i="2"/>
  <c r="Z14" i="2"/>
  <c r="U14" i="2"/>
  <c r="T14" i="2"/>
  <c r="S14" i="2"/>
  <c r="Z13" i="2"/>
  <c r="U13" i="2"/>
  <c r="T13" i="2"/>
  <c r="S13" i="2"/>
  <c r="Z12" i="2"/>
  <c r="U12" i="2"/>
  <c r="T12" i="2"/>
  <c r="S12" i="2"/>
  <c r="Z11" i="2"/>
  <c r="U11" i="2"/>
  <c r="T11" i="2"/>
  <c r="S11" i="2"/>
  <c r="Z10" i="2"/>
  <c r="U10" i="2"/>
  <c r="T10" i="2"/>
  <c r="S10" i="2"/>
  <c r="Z9" i="2"/>
  <c r="U9" i="2"/>
  <c r="T9" i="2"/>
  <c r="S9" i="2"/>
  <c r="Z8" i="2"/>
  <c r="U8" i="2"/>
  <c r="T8" i="2"/>
  <c r="S8" i="2"/>
  <c r="Z7" i="2"/>
  <c r="U7" i="2"/>
  <c r="T7" i="2"/>
  <c r="S7" i="2"/>
  <c r="Z6" i="2"/>
  <c r="U6" i="2"/>
  <c r="T6" i="2"/>
  <c r="S6" i="2"/>
  <c r="Z5" i="2"/>
  <c r="U5" i="2"/>
  <c r="T5" i="2"/>
  <c r="S5" i="2"/>
  <c r="Z4" i="2"/>
  <c r="U4" i="2"/>
  <c r="T4" i="2"/>
  <c r="S4" i="2"/>
  <c r="Z3" i="2"/>
  <c r="U3" i="2"/>
  <c r="T3" i="2"/>
  <c r="S3" i="2"/>
  <c r="AA2" i="2"/>
  <c r="Z2" i="2"/>
  <c r="U2" i="2"/>
  <c r="T2" i="2"/>
  <c r="S2" i="2"/>
</calcChain>
</file>

<file path=xl/sharedStrings.xml><?xml version="1.0" encoding="utf-8"?>
<sst xmlns="http://schemas.openxmlformats.org/spreadsheetml/2006/main" count="580" uniqueCount="206">
  <si>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</si>
  <si>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</si>
  <si>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</si>
  <si>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</si>
  <si>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</si>
  <si>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</si>
  <si>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</si>
  <si>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</si>
  <si>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</si>
  <si>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</si>
  <si>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</si>
  <si>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</si>
  <si>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</si>
  <si>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</si>
  <si>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</si>
  <si>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</si>
  <si>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</si>
  <si>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</si>
  <si>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</si>
  <si>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</si>
  <si>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</si>
  <si>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</si>
  <si>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</si>
  <si>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</si>
  <si>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</si>
  <si>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</si>
  <si>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</si>
  <si>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</si>
  <si>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</si>
  <si>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</si>
  <si>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</si>
  <si>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</si>
  <si>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</si>
  <si>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</si>
  <si>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</si>
  <si>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</si>
  <si>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</si>
  <si>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</si>
  <si>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</si>
  <si>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</si>
  <si>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</si>
  <si>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</si>
  <si>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</si>
  <si>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</si>
  <si>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</si>
  <si>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</si>
  <si>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</si>
  <si>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</si>
  <si>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</si>
  <si>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</si>
  <si>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</si>
  <si>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</si>
  <si>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</si>
  <si>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</si>
  <si>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</si>
  <si>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</si>
  <si>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</si>
  <si>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</si>
  <si>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</si>
  <si>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</si>
  <si>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</si>
  <si>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</si>
  <si>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</si>
  <si>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</si>
  <si>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Giờ</t>
  </si>
  <si>
    <t>Ngày</t>
  </si>
  <si>
    <t>Tháng</t>
  </si>
  <si>
    <t>Năm</t>
  </si>
  <si>
    <t>NỘI DUNG/CHƯƠNG TRÌNH</t>
  </si>
  <si>
    <t>BÁO CÁO VIÊN</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</si>
  <si>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</si>
  <si>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</si>
  <si>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</si>
  <si>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</si>
  <si>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</si>
  <si>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</si>
  <si>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</si>
  <si>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</si>
  <si>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</si>
  <si>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</si>
  <si>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</si>
  <si>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</si>
  <si>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</si>
  <si>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</si>
  <si>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</si>
  <si>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</si>
  <si>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</si>
  <si>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</si>
  <si>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Bảy</t>
  </si>
  <si>
    <t>Trung tâm Di truyền</t>
  </si>
  <si>
    <t>Tổng quan về các bệnh lí di truyền đơn gen</t>
  </si>
  <si>
    <t>ThS. Trần Tuấn Anh</t>
  </si>
  <si>
    <t>Bác sĩ/Kĩ thuật Y</t>
  </si>
  <si>
    <t>Phòng Hành chính khoa</t>
  </si>
  <si>
    <t>0979048917</t>
  </si>
  <si>
    <t>Điểm danh và post test 05.01.2026</t>
  </si>
  <si>
    <t>Tổng quan về bệnh di truyền đơn gen 05.01.2026</t>
  </si>
  <si>
    <t>Tổng quan nguyên lý và ứng dụng xét nghiệm di truyền bằng StripAssay</t>
  </si>
  <si>
    <t>Tổng quan về phương pháp StripAssay và ứng dụng trong chẩn đoán bệnh Thalassemia_2026.1.10</t>
  </si>
  <si>
    <t>Cập nhật danh mục các xét nghiệm vi sinh trong chẩn đoán và điều trị tại bệnh viện Đại học Phenikaa</t>
  </si>
  <si>
    <t>Điểm danh và post test 17.01.2026</t>
  </si>
  <si>
    <t>Cập nhật danh mục các xét nghiệm Vi sinh phân tử trong chẩn đoán và điều trị tại Bệnh viện đại học Phenikaa_2026.1.17</t>
  </si>
  <si>
    <t>Cập nhật chẩn đoán bệnh lý rối loạn phát triển giới tính</t>
  </si>
  <si>
    <t>BSNT. Lê Minh Châu</t>
  </si>
  <si>
    <t>Điểm danh và post test 26.01.2026</t>
  </si>
  <si>
    <t>SỰ KHÁC BIỆT VỀ PHÁT TRIỂN GIỚI TÍNH VÀ KHÍA CẠNH DI TRUYỀN LIÊN QUAN_26_01_2026</t>
  </si>
  <si>
    <t>Ảnh đào tạo 26.01.2026</t>
  </si>
  <si>
    <t>Cập nhật các phương pháp sàng lọc di truyền trước chuyển phôi</t>
  </si>
  <si>
    <t>BSNT. Hoàng Thị Hải</t>
  </si>
  <si>
    <t>Điểm danh và post test02.02.2026</t>
  </si>
  <si>
    <t>Xét nghiệm sàng lọc phôi tiền làm tổ phát hiện bất thường nhiễm sắc thể_02_02_2026</t>
  </si>
  <si>
    <t>Tổng quan nguyên lý kỹ thuật Nuôi cấy tế bào bám dính</t>
  </si>
  <si>
    <t>BSNT. Nguyễn Thị Huyền</t>
  </si>
  <si>
    <t>Điểm danh và post test 07.02.2026</t>
  </si>
  <si>
    <t>Tổng quan kỹ thuật nuôi cấy tế bào bám dính_2026.02.07</t>
  </si>
  <si>
    <t>Ảnh đào tạo 07.02.2026</t>
  </si>
  <si>
    <t>Cập nhật các xét nghiệm Sàng lọc sơ sinh trên lâm sàng</t>
  </si>
  <si>
    <t>Cập nhật xét nghiệm sàng lọc sơ sinh tại PhenikaaMec_12_02_2026</t>
  </si>
  <si>
    <t>Ảnh đào tạo 12.02.2026</t>
  </si>
  <si>
    <t>Ứng dụng giải trình tự gen đoạn dài bằng công nghệ Oxford Nanopore trong định danh tác nhân gây bệnh và ý nghĩa trong lâm sàng</t>
  </si>
  <si>
    <t>TS. Vũ Đình Quang</t>
  </si>
  <si>
    <t>Hủy do trùng lịch nghỉ Tết Nguyên đán</t>
  </si>
  <si>
    <t>Cập nhật các xét nghiệm di truyền trong vô sinh nam</t>
  </si>
  <si>
    <t>Điểm danh và post test 02.03.2026</t>
  </si>
  <si>
    <t>Cập nhật xét nghiệm trong vô sinh nam_02_03_2026</t>
  </si>
  <si>
    <t>Cập nhật xét nghiệm NIPT và ứng dụng trên lâm sàng</t>
  </si>
  <si>
    <t>ThS. Khổng Thị Minh Ngân</t>
  </si>
  <si>
    <t>Điểm danh và post test 07.03.2026</t>
  </si>
  <si>
    <t xml:space="preserve">Cập nhật xét nghiệm NIPT và ứng dụng trên lâm sàng_07_03_2026 </t>
  </si>
  <si>
    <t>Tổng quan về chẩ̉n đoán bệnh lí di truyền đơn gen trước chuyển phôi</t>
  </si>
  <si>
    <r>
      <rPr>
        <sz val="12"/>
        <color rgb="FF1F1F1F"/>
        <rFont val="Times New Roman"/>
        <family val="1"/>
      </rPr>
      <t>Đ</t>
    </r>
    <r>
      <rPr>
        <u/>
        <sz val="12"/>
        <color rgb="FF0563C1"/>
        <rFont val="Times New Roman"/>
        <family val="1"/>
      </rPr>
      <t>iểm danh và post test 14.03.2026</t>
    </r>
  </si>
  <si>
    <t>Cập nhật các phương pháp chẩ̉n đoán bệnh di truyền đơn gen trước chuyển phôi (PGT-M)_14_03_2026</t>
  </si>
  <si>
    <t>Cập nhật các xét nghiệm di truyền tế bào và ứng dụng trong lâm sàng</t>
  </si>
  <si>
    <t>Điểm danh và post test 23.03.2026</t>
  </si>
  <si>
    <t>Cập nhật xét nghiệm di truyền tế bào và ứng dụng lâm sàng_23_03_2026</t>
  </si>
  <si>
    <t>Ảnh đào tạo 23.03.2026</t>
  </si>
  <si>
    <t>Tổng quan về xét nghiệm di truyền vi sinh - ứng dụng trên lâm sàng</t>
  </si>
  <si>
    <t>Điểm danh và post test 28.03.2026</t>
  </si>
  <si>
    <t>Tổng quan về vi sinh phân tử và ứng dụng lâm sàng_28_03_2026</t>
  </si>
  <si>
    <t>Ảnh đào tạo 28.03.2026</t>
  </si>
  <si>
    <t>Cập nhật các phương pháp xét nghiệm chẩn đoán bệnh Thalassemia và ứng dụng trong lâm sàng</t>
  </si>
  <si>
    <t>Điểm danh và post test 04.04.2026</t>
  </si>
  <si>
    <t xml:space="preserve">Cập nhật các phương pháp chẩn đoán bệnh thalassemia và Ứng dụng trong lâm sàng_04_04_2026 </t>
  </si>
  <si>
    <t>Ảnh đào tạo 04.04.2026</t>
  </si>
  <si>
    <t>Cập nhật các xét nghiệm di truyền trong chẩn đoán và điều trị bệnh lý ung thư di truyền</t>
  </si>
  <si>
    <t>Điểm danh và post test 11.04.2026</t>
  </si>
  <si>
    <t>Cập nhật các xét nghiệm di truyền trong chẩn đoán và điều trị Ung thư di truyền_11_04_2026</t>
  </si>
  <si>
    <t>Cập nhật các phương pháp chẩ̉n đoán bệnh lí di truyền đơn gen tiền làm tổ và ứng dụng lâm sàng</t>
  </si>
  <si>
    <t>ThS. Hoàng Thị Nhung</t>
  </si>
  <si>
    <t>Điểm danh và post test 17.04.2026</t>
  </si>
  <si>
    <t>Cập nhật các phương pháp chẩ̉n đoán bệnh lí di truyền đơn gen trước chuyển phôi (PGT-M)</t>
  </si>
  <si>
    <t>Tổng quan phương pháp xét nghiệm Lao trên hệ thống Gen Xpert</t>
  </si>
  <si>
    <t>ThS. Nguyễn Trọng Linh</t>
  </si>
  <si>
    <t>Có</t>
  </si>
  <si>
    <t>Điểm danh và post test 25.04.2026</t>
  </si>
  <si>
    <t>Bảng kiểm đào tạo nội bộ 25.04.2026</t>
  </si>
  <si>
    <t>Tổng quan phương pháp xét nghiệm lao trên hệ thống Gene Xpert</t>
  </si>
  <si>
    <t>ẢNH ĐÀO TẠO-25.04.2026</t>
  </si>
  <si>
    <t>Thứ Ba</t>
  </si>
  <si>
    <t>Cập nhật các xét nghiệm di truyền trong các trường hợp sảy thai, thai lưu liên tiếp</t>
  </si>
  <si>
    <t>Điểm danh và post test 05.05.2026</t>
  </si>
  <si>
    <t>Bảng kiểm đào tạo nội bộ 05.05.2026</t>
  </si>
  <si>
    <t>Cập nhật các xét nghiệm di truyền trong các trường hợp sảy thai, thai lưu liên tiếp_05_05_2026</t>
  </si>
  <si>
    <t>Xét nghiệm sàng lọc trước chuyển phôi cho chuyển đoạn nhiễm sắc thể</t>
  </si>
  <si>
    <t>Điểm danh và post test 09.05.2026</t>
  </si>
  <si>
    <t>Bảng kiểm đào tạo nội bộ 09.05.2026</t>
  </si>
  <si>
    <t>Xét nghiệm sàng lọc trước chuyển phôi cho chuyển đoạn nhiễm sắc thể_09_05_2026</t>
  </si>
  <si>
    <t>Ảnh đào tạo 09.05.2026</t>
  </si>
  <si>
    <t>Cập nhật các xét nghiệm di truyền trong vô sinh nữ</t>
  </si>
  <si>
    <t>Điểm danh và post test- Xét ghiệm di truyền vô sinh nữ 16.05.2026</t>
  </si>
  <si>
    <t>Bảng kiểm đào tạo nội bộ 16.05.2026</t>
  </si>
  <si>
    <t>Cập nhật Xét nghiệm di truyền vô sinh nữ 16.05.2026</t>
  </si>
  <si>
    <t>Ứng dụng của phương pháp phân tích di truyền liên kết trong chẩn đoán bệnh di truyền hiếm</t>
  </si>
  <si>
    <t>0965417697</t>
  </si>
  <si>
    <t>Cập nhật quy trình chẩn đoán cho các trường hợp sàng lọc trước sinh nguy cơ cao</t>
  </si>
  <si>
    <t>Tổng quan về tư vấn di truyền</t>
  </si>
  <si>
    <t>Cập nhật xét nghiệm giải trình tự cho sàng lọc sơ sinh</t>
  </si>
  <si>
    <t>Cập nhật các khuyến cáo tư vấn di truyền cho sàng lọc di truyền trước chuyển phôi</t>
  </si>
  <si>
    <t>Ứng dụng giải trình tự toàn bộ vùng mã hóa (WES) trong chẩn đoán bệnh hiếm chưa rõ nguyên nhân</t>
  </si>
  <si>
    <t>Cập nhật cơ sở lý thuyết và ứng dụng giải trình tự gen thế hệ mới trong sàng lọc trước sinh mở rộng</t>
  </si>
  <si>
    <t>Tổng quan kỹ thuật phân tích vi mất đoạn/lặp đoạn (aCGH) và giá trị chẩn đoán hội chứng vi mất đoạn</t>
  </si>
  <si>
    <t>Vai trò của xét nghiệm di truyền ty thể trong chẩn đoán bệnh chuyển hóa sơ sinh</t>
  </si>
  <si>
    <t>Đánh giá và xác nhận giá trị sử dụng phương pháp cho các kit xét nghiệm mới</t>
  </si>
  <si>
    <t>Cơ sở lý thuyết của công nghệ giải trình tự gen đoạn dài (Long-read sequencing) trong định danh biến thể cấu trúc</t>
  </si>
  <si>
    <t>Chẩn đoán trước sinh bệnh tan máu bẩm sinh thể nặng: từ xâm lấn đến không xâm lấn</t>
  </si>
  <si>
    <t>Cập nhật hướng dẫn sử dụng và tối ưu hóa nhập liệu trên hệ thống LIS: Đảm bảo tính lưu vết và bảo mật</t>
  </si>
  <si>
    <t>Cập nhật vai trò của giải trình tự toàn bộ exome (WES) trong bệnh cảnh thai nhi bất thường siêu âm</t>
  </si>
  <si>
    <t>Cơ sở lý thuyết về quản lý rủi ro và chuẩn hóa hồ sơ năng lực nhân sự theo tiêu chuẩn ISO 15189:2022</t>
  </si>
  <si>
    <t>Nguyên lý kiểm soát chất lượng xét nghiệm sinh học phân tử: Tối ưu hóa nội kiểm (IQC) và ngoại kiểm (EQA)</t>
  </si>
  <si>
    <t>Xét nghiệm di truyền trong vô sinh nam: ngoài bất thường nhiễm sắc thể và vi mất AZF</t>
  </si>
  <si>
    <t>Phân tích khuyến cáo ACMG về phân loại biến thể và nguyên tắc lập báo cáo kết quả giải trình tự gen</t>
  </si>
  <si>
    <t>Tiêu chuẩn hóa quy trình lấy mẫu, chiết tách và bảo quản DNA/RNA ứng dụng trong xét nghiệm và nghiên cứu</t>
  </si>
  <si>
    <t>Cập nhật quy trình tiếp nhận, xử lý mẫu dịch ối/gai nhau và các biện pháp kiểm soát chống ngoại nhiễm</t>
  </si>
  <si>
    <t>Di truyền Dược học: Xét nghiệm di truyền trong định hướng sử dụng thuốc ung thư đích</t>
  </si>
  <si>
    <t>Cập nhật danh mục bệnh di truyền lặn phổ biến ở người Việt Nam và chiến lược sàng lọc</t>
  </si>
  <si>
    <t>Sinh thiết lỏng (Liquid Biopsy) - Tiềm năng và giới hạn trong theo dõi điều trị ung thư</t>
  </si>
  <si>
    <t>Cơ sở phân tử của tình trạng kháng thuốc và vai trò của di truyền vi sinh trong nhiễm trùng bệnh viện</t>
  </si>
  <si>
    <t>Tổng quan giải trình tự toàn bộ hệ gen (WGS) &amp; Khía cạnh đạo đức trong quy trình thu thập gen quy mô lớn</t>
  </si>
  <si>
    <t>Cập nhật hướng dẫn chẩn đoán và quản lý thai kỳ đối với thai phụ có kết quả NIPT nguy cơ cao</t>
  </si>
  <si>
    <t>Cập nhật và biện luận kết quả PGT-A/PGT-M/PGT-SR trong các chu kỳ thụ tinh ống nghiệm thất bại nhiều lần</t>
  </si>
  <si>
    <t>Cơ sở lý thuyết kỹ thuật phân tích nhóm liên kết di truyền trong chẩn đoán bệnh khi không có đột biến chỉ điểm</t>
  </si>
  <si>
    <t>Tổng quan các yếu tố ảnh hưởng đến kết quả giải trình tự gen nanopore trên lâm sàng</t>
  </si>
  <si>
    <t>Tổng kết các ca lâm sàng điển hình được chẩn đoán bằng WES/WGS tại Trung tâm năm 2026</t>
  </si>
  <si>
    <t>Tổng kết chuyên môn 2026 và Định hướng phát triển kỹ thuật di truyền, kế hoạch CME năm 2027</t>
  </si>
  <si>
    <t>ĐƠN VỊ</t>
  </si>
  <si>
    <t>NGƯỜI PHỤ TRÁCH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</si>
</sst>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2" x14ac:knownFonts="1">
    <font>
      <sz val="11"/>
      <color theme="1"/>
      <name val="Calibri"/>
      <scheme val="minor"/>
    </font>
    <font>
      <b/>
      <sz val="11"/>
      <color theme="1"/>
      <name val="Times New Roman"/>
      <family val="1"/>
    </font>
    <font>
      <sz val="11"/>
      <color theme="1"/>
      <name val="Times New Roman"/>
      <family val="1"/>
    </font>
    <font>
      <sz val="11"/>
      <color theme="1"/>
      <name val="Calibri"/>
      <family val="2"/>
    </font>
    <font>
      <b/>
      <sz val="12"/>
      <color theme="1"/>
      <name val="Times New Roman"/>
      <family val="1"/>
    </font>
    <font>
      <b/>
      <sz val="12"/>
      <color rgb="FFFF00FF"/>
      <name val="Times New Roman"/>
      <family val="1"/>
    </font>
    <font>
      <sz val="11"/>
      <color theme="1"/>
      <name val="Calibri"/>
      <family val="2"/>
      <scheme val="minor"/>
    </font>
    <font>
      <sz val="12"/>
      <color theme="1"/>
      <name val="Times New Roman"/>
      <family val="1"/>
    </font>
    <font>
      <sz val="12"/>
      <color rgb="FF000000"/>
      <name val="Times New Roman"/>
      <family val="1"/>
    </font>
    <font>
      <u/>
      <sz val="12"/>
      <color rgb="FF0000FF"/>
      <name val="Times New Roman"/>
      <family val="1"/>
    </font>
    <font>
      <u/>
      <sz val="12"/>
      <color rgb="FF0563C1"/>
      <name val="Times New Roman"/>
      <family val="1"/>
    </font>
    <font>
      <sz val="12"/>
      <color rgb="FF1F1F1F"/>
      <name val="Times New Roman"/>
      <family val="1"/>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5">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2" borderId="1" xfId="0" applyFont="1" applyFill="1" applyBorder="1" applyAlignment="1">
      <alignment horizontal="right"/>
    </xf>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xf numFmtId="0" fontId="2" fillId="3" borderId="1" xfId="0" applyFont="1" applyFill="1" applyBorder="1" applyAlignment="1">
      <alignment horizontal="right"/>
    </xf>
    <xf numFmtId="0" fontId="2" fillId="3" borderId="1" xfId="0" applyFont="1" applyFill="1" applyBorder="1"/>
    <xf numFmtId="0" fontId="2" fillId="3" borderId="1" xfId="0" applyFont="1" applyFill="1" applyBorder="1" applyAlignment="1">
      <alignment wrapText="1"/>
    </xf>
    <xf numFmtId="0" fontId="3" fillId="3" borderId="1" xfId="0" applyFont="1" applyFill="1" applyBorder="1"/>
    <xf numFmtId="0" fontId="2" fillId="4" borderId="1" xfId="0" applyFont="1" applyFill="1" applyBorder="1" applyAlignment="1">
      <alignment horizontal="right"/>
    </xf>
    <xf numFmtId="0" fontId="2" fillId="4" borderId="1" xfId="0" applyFont="1" applyFill="1" applyBorder="1"/>
    <xf numFmtId="0" fontId="2" fillId="4" borderId="1" xfId="0" applyFont="1" applyFill="1" applyBorder="1" applyAlignment="1">
      <alignment wrapText="1"/>
    </xf>
    <xf numFmtId="0" fontId="3" fillId="4" borderId="1" xfId="0" applyFont="1" applyFill="1" applyBorder="1"/>
    <xf numFmtId="0" fontId="2" fillId="5" borderId="1" xfId="0" applyFont="1" applyFill="1" applyBorder="1" applyAlignment="1">
      <alignment horizontal="right"/>
    </xf>
    <xf numFmtId="0" fontId="2" fillId="5" borderId="1" xfId="0" applyFont="1" applyFill="1" applyBorder="1"/>
    <xf numFmtId="0" fontId="2" fillId="5" borderId="1" xfId="0" applyFont="1" applyFill="1" applyBorder="1" applyAlignment="1">
      <alignment wrapText="1"/>
    </xf>
    <xf numFmtId="0" fontId="3" fillId="5" borderId="1" xfId="0" applyFont="1" applyFill="1" applyBorder="1"/>
    <xf numFmtId="0" fontId="2" fillId="6" borderId="1" xfId="0" applyFont="1" applyFill="1" applyBorder="1" applyAlignment="1">
      <alignment horizontal="right"/>
    </xf>
    <xf numFmtId="0" fontId="2" fillId="6" borderId="1" xfId="0" applyFont="1" applyFill="1" applyBorder="1"/>
    <xf numFmtId="0" fontId="2" fillId="6" borderId="1" xfId="0" applyFont="1" applyFill="1" applyBorder="1" applyAlignment="1">
      <alignment wrapText="1"/>
    </xf>
    <xf numFmtId="0" fontId="3" fillId="6" borderId="1" xfId="0" applyFont="1" applyFill="1" applyBorder="1"/>
    <xf numFmtId="0" fontId="6" fillId="0" borderId="0" xfId="0" applyFont="1" applyAlignment="1">
      <alignment vertical="center"/>
    </xf>
    <xf numFmtId="0" fontId="7" fillId="0" borderId="1" xfId="0" applyFont="1" applyBorder="1" applyAlignment="1">
      <alignment horizontal="center" vertical="center" wrapText="1"/>
    </xf>
    <xf numFmtId="0" fontId="8" fillId="0" borderId="1" xfId="0" applyFont="1" applyBorder="1" applyAlignment="1">
      <alignment horizontal="center"/>
    </xf>
    <xf numFmtId="0" fontId="7" fillId="0" borderId="1" xfId="0" applyFont="1" applyBorder="1" applyAlignment="1">
      <alignment horizontal="center"/>
    </xf>
    <xf numFmtId="0" fontId="8" fillId="0" borderId="1" xfId="0" applyFont="1" applyBorder="1" applyAlignment="1">
      <alignment horizontal="center" vertical="top" wrapText="1"/>
    </xf>
    <xf numFmtId="0" fontId="7" fillId="0" borderId="1" xfId="0" quotePrefix="1" applyFont="1" applyBorder="1" applyAlignment="1">
      <alignment horizontal="center" vertical="center" wrapText="1"/>
    </xf>
    <xf numFmtId="0" fontId="7" fillId="0" borderId="1" xfId="0" applyFont="1" applyBorder="1" applyAlignment="1">
      <alignment horizontal="center" vertical="center"/>
    </xf>
    <xf numFmtId="0" fontId="7" fillId="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7" fillId="0" borderId="1" xfId="0" applyFont="1" applyBorder="1" applyAlignment="1">
      <alignment horizontal="center" vertical="top" wrapText="1"/>
    </xf>
    <xf numFmtId="0" fontId="7" fillId="7" borderId="1" xfId="0" applyFont="1" applyFill="1" applyBorder="1" applyAlignment="1">
      <alignment horizontal="center" vertical="center"/>
    </xf>
    <xf numFmtId="0" fontId="10" fillId="9" borderId="1" xfId="0" applyFont="1" applyFill="1" applyBorder="1" applyAlignment="1">
      <alignment horizontal="center" vertical="center" wrapText="1"/>
    </xf>
    <xf numFmtId="0" fontId="7" fillId="0" borderId="1" xfId="0" applyFont="1" applyBorder="1" applyAlignment="1">
      <alignment horizontal="center" wrapText="1"/>
    </xf>
    <xf numFmtId="0" fontId="7" fillId="0" borderId="2" xfId="0" applyFont="1" applyBorder="1" applyAlignment="1">
      <alignment horizontal="center" vertical="center" wrapText="1"/>
    </xf>
    <xf numFmtId="0" fontId="6" fillId="0" borderId="3" xfId="0" applyFont="1" applyBorder="1" applyAlignment="1">
      <alignment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7" borderId="5" xfId="0" applyNumberFormat="1" applyFont="1" applyFill="1" applyBorder="1" applyAlignment="1">
      <alignment horizontal="center" vertical="center" wrapText="1"/>
    </xf>
    <xf numFmtId="164" fontId="5" fillId="8" borderId="5" xfId="0" applyNumberFormat="1" applyFont="1" applyFill="1" applyBorder="1" applyAlignment="1">
      <alignment horizontal="center" vertical="center" wrapText="1"/>
    </xf>
    <xf numFmtId="164" fontId="4" fillId="0" borderId="6"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8" xfId="0" applyFont="1" applyBorder="1" applyAlignment="1">
      <alignment horizontal="center"/>
    </xf>
    <xf numFmtId="0" fontId="7" fillId="0" borderId="8" xfId="0" applyFont="1" applyBorder="1" applyAlignment="1">
      <alignment horizontal="center" wrapText="1"/>
    </xf>
    <xf numFmtId="0" fontId="7" fillId="0" borderId="8" xfId="0" quotePrefix="1" applyFont="1" applyBorder="1" applyAlignment="1">
      <alignment horizontal="center" vertical="center" wrapText="1"/>
    </xf>
    <xf numFmtId="0" fontId="7" fillId="0" borderId="8" xfId="0" applyFont="1" applyBorder="1" applyAlignment="1">
      <alignment horizontal="center" vertical="center"/>
    </xf>
    <xf numFmtId="0" fontId="7" fillId="7" borderId="8" xfId="0" applyFont="1" applyFill="1" applyBorder="1" applyAlignment="1">
      <alignment horizontal="center" vertical="center" wrapText="1"/>
    </xf>
    <xf numFmtId="0" fontId="7" fillId="7" borderId="8" xfId="0" applyFont="1" applyFill="1" applyBorder="1" applyAlignment="1">
      <alignment horizontal="center" vertical="center"/>
    </xf>
    <xf numFmtId="0" fontId="6" fillId="0" borderId="9" xfId="0" applyFont="1" applyBorder="1" applyAlignment="1">
      <alignment vertical="center"/>
    </xf>
  </cellXfs>
  <cellStyles count="1">
    <cellStyle name="Normal" xfId="0" builtinId="0"/>
  </cellStyles>
  <dxfs count="32">
    <dxf>
      <font>
        <color rgb="FF0000FF"/>
      </font>
      <fill>
        <patternFill patternType="solid">
          <fgColor rgb="FFB7E1CD"/>
          <bgColor rgb="FFB7E1CD"/>
        </patternFill>
      </fill>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8EA0EC-23A4-42A2-A432-1D16EC272A18}" name="Table1" displayName="Table1" ref="A1:AB53" totalsRowShown="0" headerRowBorderDxfId="31" tableBorderDxfId="30" totalsRowBorderDxfId="29">
  <autoFilter ref="A1:AB53" xr:uid="{C78EA0EC-23A4-42A2-A432-1D16EC272A18}"/>
  <tableColumns count="28">
    <tableColumn id="1" xr3:uid="{37557D0B-5D04-4E40-A97B-9C1D8D85440A}" name="STT" dataDxfId="28"/>
    <tableColumn id="2" xr3:uid="{90C1F056-AA71-4E69-96F9-FE19B3A56025}" name="THỨ" dataDxfId="27"/>
    <tableColumn id="3" xr3:uid="{1BE710C2-D041-4B29-A7B9-653737E8EFD9}" name="Giờ" dataDxfId="26"/>
    <tableColumn id="4" xr3:uid="{951C8F85-8E83-4559-B4EC-3D70A0906106}" name="Ngày" dataDxfId="25"/>
    <tableColumn id="5" xr3:uid="{52982B42-3522-4428-8400-5D717B491730}" name="Tháng" dataDxfId="24"/>
    <tableColumn id="6" xr3:uid="{131C1820-9A34-4489-8745-5A8900B46508}" name="Năm" dataDxfId="23"/>
    <tableColumn id="7" xr3:uid="{9EE3127E-7FD9-462C-96DE-EB12926DABDE}" name="ĐƠN VỊ" dataDxfId="22"/>
    <tableColumn id="8" xr3:uid="{677B4850-51DC-4C68-96A5-76F6C72AA4A1}" name="NỘI DUNG/CHƯƠNG TRÌNH" dataDxfId="21"/>
    <tableColumn id="9" xr3:uid="{D4A5C095-8B4E-4DEA-B492-BC2721FBA6B0}" name="BÁO CÁO VIÊN" dataDxfId="20"/>
    <tableColumn id="10" xr3:uid="{DB862D58-F0BE-44D0-921E-F6A1B1BC80D6}" name="NGƯỜI PHỤ TRÁCH NỘI DUNG" dataDxfId="19"/>
    <tableColumn id="11" xr3:uid="{08D4AEDD-B157-461D-910E-CF8376DEB7E7}" name="ĐỐI TƯỢNG" dataDxfId="18"/>
    <tableColumn id="12" xr3:uid="{4A7F4D47-094E-47C2-B9C7-EBA3C9381B65}" name="ĐỊA ĐIỂM" dataDxfId="17"/>
    <tableColumn id="13" xr3:uid="{EA1D4E26-C487-47FA-BE27-C23CB7E5DB5F}" name="ĐẦU MỐI" dataDxfId="16"/>
    <tableColumn id="14" xr3:uid="{0DB22CE0-9C4A-4BBF-94D8-04E6A8532101}" name="LIÊN HỆ" dataDxfId="15"/>
    <tableColumn id="15" xr3:uid="{E9DDF754-FB29-405C-889B-5F389C35D135}" name="Số học viên tham gia" dataDxfId="14"/>
    <tableColumn id="16" xr3:uid="{CE35C221-7B47-4B56-B590-160D2399E31F}" name="Số Học viên đạt" dataDxfId="13"/>
    <tableColumn id="17" xr3:uid="{7B697315-0B45-4870-8933-8C2028EB9679}" name="Số HV không đạt" dataDxfId="12"/>
    <tableColumn id="18" xr3:uid="{251155B8-2EFF-4694-B7D1-0E71081D1E7C}" name="Đúng form post test điểm danh (ít nhất 10 câu): Có/Không" dataDxfId="11"/>
    <tableColumn id="19" xr3:uid="{EA9D9831-F924-41FB-BB17-4BA6DCF811F4}" name="Có bài post test" dataDxfId="10">
      <calculatedColumnFormula>IF(V2&gt;0,"Có","Không")</calculatedColumnFormula>
    </tableColumn>
    <tableColumn id="20" xr3:uid="{A7933743-0FDB-4B6A-9642-957AF4A45468}" name="Có bảng kiểm" dataDxfId="9">
      <calculatedColumnFormula>IF(W2&gt;0,"Có","Không")</calculatedColumnFormula>
    </tableColumn>
    <tableColumn id="21" xr3:uid="{994C3E41-92E0-46EB-87FD-FD5E24016519}" name="Có bài báo cáo" dataDxfId="8">
      <calculatedColumnFormula>IF(X2&gt;0,"Có","Không")</calculatedColumnFormula>
    </tableColumn>
    <tableColumn id="22" xr3:uid="{C6C4F46F-A66D-441E-8DAD-CBC2E29AAD38}" name="Gắn link Điểm danh và post test" dataDxfId="7"/>
    <tableColumn id="23" xr3:uid="{3A27F46C-BE92-4BBE-A913-E7A42837CB9E}" name="Gắn link bảng kiểm đào tạo nội bộ" dataDxfId="6"/>
    <tableColumn id="24" xr3:uid="{C00439CF-8853-45E5-AF84-0853BAE2A9D7}" name="Gắn link bài báo cáo" dataDxfId="5"/>
    <tableColumn id="25" xr3:uid="{42B26B94-45BD-4AC7-AD7F-65396C083724}" name="Gắn link video buổi đào tạo" dataDxfId="4"/>
    <tableColumn id="26" xr3:uid="{733E45F8-6DDE-433B-A522-A58DDA9C78CB}" name="Tình trạng thực hiện" dataDxfId="3">
      <calculatedColumnFormula>IF(COUNTA(V2:X2)&gt;0,"Thực hiện","Không thực hiện")</calculatedColumnFormula>
    </tableColumn>
    <tableColumn id="27" xr3:uid="{7D22D6C2-EAF4-4866-B99A-5B0FD8F722A9}" name="Cập nhật calendar" dataDxfId="2"/>
    <tableColumn id="28" xr3:uid="{C5E4C4D0-25A4-48E1-9C71-30B8612D04C1}" name="Lý do hoãn/hủy/ghi chú" dataDxfId="1"/>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rive.google.com/drive/folders/1d7ti3it_u8y68J8REpr0q9yqBK6YU4lJ" TargetMode="External"/><Relationship Id="rId18" Type="http://schemas.openxmlformats.org/officeDocument/2006/relationships/hyperlink" Target="https://drive.google.com/drive/folders/1C5nzoLOsFwPv3I12P8rlzIls9a9HvI-Q" TargetMode="External"/><Relationship Id="rId26" Type="http://schemas.openxmlformats.org/officeDocument/2006/relationships/hyperlink" Target="https://drive.google.com/drive/folders/1h2P6HGa4Dtieaa1uc-QdmKtodnYw4jLh" TargetMode="External"/><Relationship Id="rId39" Type="http://schemas.openxmlformats.org/officeDocument/2006/relationships/hyperlink" Target="https://drive.google.com/drive/u/1/folders/18PKHTF0Csr5hw2cGeLrMTP3O5ot05Y1a" TargetMode="External"/><Relationship Id="rId21" Type="http://schemas.openxmlformats.org/officeDocument/2006/relationships/hyperlink" Target="https://drive.google.com/drive/folders/1_PsQP5Tb84Z6cfg187cP8L-NUCIqObMY" TargetMode="External"/><Relationship Id="rId34" Type="http://schemas.openxmlformats.org/officeDocument/2006/relationships/hyperlink" Target="https://drive.google.com/drive/folders/15f_ZVlDcS445O4YW6FG7bxu0XUZHctQf" TargetMode="External"/><Relationship Id="rId42" Type="http://schemas.openxmlformats.org/officeDocument/2006/relationships/hyperlink" Target="https://drive.google.com/drive/u/0/folders/1l3JMVNCP6u6yGkWDZVefg4dGCg9BZq5C" TargetMode="External"/><Relationship Id="rId47" Type="http://schemas.openxmlformats.org/officeDocument/2006/relationships/hyperlink" Target="https://drive.google.com/drive/u/1/folders/1q6P8Ova_dxdyFb5py4ujS_E_YwW0Iv_n" TargetMode="External"/><Relationship Id="rId50" Type="http://schemas.openxmlformats.org/officeDocument/2006/relationships/table" Target="../tables/table1.xml"/><Relationship Id="rId7" Type="http://schemas.openxmlformats.org/officeDocument/2006/relationships/hyperlink" Target="https://drive.google.com/drive/u/0/folders/1cn-GkyMMbTlx7DUpp9J_bQV4kYO_wKzq" TargetMode="External"/><Relationship Id="rId2" Type="http://schemas.openxmlformats.org/officeDocument/2006/relationships/hyperlink" Target="https://drive.google.com/drive/u/0/folders/1yYuaRu0IILJ0U9egktqoPiHAs6Tj0cbS" TargetMode="External"/><Relationship Id="rId16" Type="http://schemas.openxmlformats.org/officeDocument/2006/relationships/hyperlink" Target="https://drive.google.com/drive/u/0/folders/1d7ti3it_u8y68J8REpr0q9yqBK6YU4lJ" TargetMode="External"/><Relationship Id="rId29" Type="http://schemas.openxmlformats.org/officeDocument/2006/relationships/hyperlink" Target="https://drive.google.com/drive/folders/1AS4ZS2dAEwbZpK2X5hXaF2q3ENtAzeeQ" TargetMode="External"/><Relationship Id="rId11" Type="http://schemas.openxmlformats.org/officeDocument/2006/relationships/hyperlink" Target="https://drive.google.com/drive/folders/1d7ti3it_u8y68J8REpr0q9yqBK6YU4lJ" TargetMode="External"/><Relationship Id="rId24" Type="http://schemas.openxmlformats.org/officeDocument/2006/relationships/hyperlink" Target="https://drive.google.com/drive/folders/1tJMNSKhOrmhXxn39zaFIAcAQC5edEwjW" TargetMode="External"/><Relationship Id="rId32" Type="http://schemas.openxmlformats.org/officeDocument/2006/relationships/hyperlink" Target="https://drive.google.com/drive/folders/1HCKokbTcjyYHHir-xdIH34P7HSvJc7Go" TargetMode="External"/><Relationship Id="rId37" Type="http://schemas.openxmlformats.org/officeDocument/2006/relationships/hyperlink" Target="https://drive.google.com/drive/u/1/folders/18PKHTF0Csr5hw2cGeLrMTP3O5ot05Y1a" TargetMode="External"/><Relationship Id="rId40" Type="http://schemas.openxmlformats.org/officeDocument/2006/relationships/hyperlink" Target="https://drive.google.com/drive/u/0/folders/1l3JMVNCP6u6yGkWDZVefg4dGCg9BZq5C" TargetMode="External"/><Relationship Id="rId45" Type="http://schemas.openxmlformats.org/officeDocument/2006/relationships/hyperlink" Target="https://drive.google.com/drive/u/0/folders/11BB9LVSLouuPdsCb-iFLGdTDv8vvoI16" TargetMode="External"/><Relationship Id="rId5" Type="http://schemas.openxmlformats.org/officeDocument/2006/relationships/hyperlink" Target="https://drive.google.com/drive/u/0/folders/1IjttpN3Q0W5Fb-0fJs7bsPgJIgII_Fw1" TargetMode="External"/><Relationship Id="rId15" Type="http://schemas.openxmlformats.org/officeDocument/2006/relationships/hyperlink" Target="https://drive.google.com/drive/u/0/folders/1d7ti3it_u8y68J8REpr0q9yqBK6YU4lJ" TargetMode="External"/><Relationship Id="rId23" Type="http://schemas.openxmlformats.org/officeDocument/2006/relationships/hyperlink" Target="https://drive.google.com/drive/folders/1tJMNSKhOrmhXxn39zaFIAcAQC5edEwjW" TargetMode="External"/><Relationship Id="rId28" Type="http://schemas.openxmlformats.org/officeDocument/2006/relationships/hyperlink" Target="https://drive.google.com/drive/folders/1h2P6HGa4Dtieaa1uc-QdmKtodnYw4jLh" TargetMode="External"/><Relationship Id="rId36" Type="http://schemas.openxmlformats.org/officeDocument/2006/relationships/hyperlink" Target="https://drive.google.com/drive/u/1/folders/18PKHTF0Csr5hw2cGeLrMTP3O5ot05Y1a" TargetMode="External"/><Relationship Id="rId49" Type="http://schemas.openxmlformats.org/officeDocument/2006/relationships/hyperlink" Target="https://drive.google.com/drive/u/1/folders/1q6P8Ova_dxdyFb5py4ujS_E_YwW0Iv_n" TargetMode="External"/><Relationship Id="rId10" Type="http://schemas.openxmlformats.org/officeDocument/2006/relationships/hyperlink" Target="https://drive.google.com/drive/u/0/folders/1Av-wtb2a9aOQHWL5cbSWGaw3-jde9M5_" TargetMode="External"/><Relationship Id="rId19" Type="http://schemas.openxmlformats.org/officeDocument/2006/relationships/hyperlink" Target="https://drive.google.com/drive/folders/1Ldd-DlO_IfiHO0tTG-EtpyYIOZDL2vLv" TargetMode="External"/><Relationship Id="rId31" Type="http://schemas.openxmlformats.org/officeDocument/2006/relationships/hyperlink" Target="https://drive.google.com/drive/folders/1AS4ZS2dAEwbZpK2X5hXaF2q3ENtAzeeQ" TargetMode="External"/><Relationship Id="rId44" Type="http://schemas.openxmlformats.org/officeDocument/2006/relationships/hyperlink" Target="https://drive.google.com/drive/u/0/folders/11BB9LVSLouuPdsCb-iFLGdTDv8vvoI16" TargetMode="External"/><Relationship Id="rId4" Type="http://schemas.openxmlformats.org/officeDocument/2006/relationships/hyperlink" Target="https://drive.google.com/drive/folders/1IjttpN3Q0W5Fb-0fJs7bsPgJIgII_Fw1" TargetMode="External"/><Relationship Id="rId9" Type="http://schemas.openxmlformats.org/officeDocument/2006/relationships/hyperlink" Target="https://drive.google.com/drive/folders/1Av-wtb2a9aOQHWL5cbSWGaw3-jde9M5_" TargetMode="External"/><Relationship Id="rId14" Type="http://schemas.openxmlformats.org/officeDocument/2006/relationships/hyperlink" Target="https://drive.google.com/drive/folders/14NPgBjhUuq_RGRO1n8abzID6i0lQMY22" TargetMode="External"/><Relationship Id="rId22" Type="http://schemas.openxmlformats.org/officeDocument/2006/relationships/hyperlink" Target="https://drive.google.com/drive/folders/1_PsQP5Tb84Z6cfg187cP8L-NUCIqObMY" TargetMode="External"/><Relationship Id="rId27" Type="http://schemas.openxmlformats.org/officeDocument/2006/relationships/hyperlink" Target="https://drive.google.com/drive/folders/1h2P6HGa4Dtieaa1uc-QdmKtodnYw4jLh" TargetMode="External"/><Relationship Id="rId30" Type="http://schemas.openxmlformats.org/officeDocument/2006/relationships/hyperlink" Target="https://drive.google.com/drive/folders/1AS4ZS2dAEwbZpK2X5hXaF2q3ENtAzeeQ" TargetMode="External"/><Relationship Id="rId35" Type="http://schemas.openxmlformats.org/officeDocument/2006/relationships/hyperlink" Target="https://drive.google.com/drive/u/1/folders/18PKHTF0Csr5hw2cGeLrMTP3O5ot05Y1a" TargetMode="External"/><Relationship Id="rId43" Type="http://schemas.openxmlformats.org/officeDocument/2006/relationships/hyperlink" Target="https://drive.google.com/drive/u/0/folders/11BB9LVSLouuPdsCb-iFLGdTDv8vvoI16" TargetMode="External"/><Relationship Id="rId48" Type="http://schemas.openxmlformats.org/officeDocument/2006/relationships/hyperlink" Target="https://drive.google.com/drive/u/1/folders/1q6P8Ova_dxdyFb5py4ujS_E_YwW0Iv_n" TargetMode="External"/><Relationship Id="rId8" Type="http://schemas.openxmlformats.org/officeDocument/2006/relationships/hyperlink" Target="https://drive.google.com/drive/u/0/folders/1cn-GkyMMbTlx7DUpp9J_bQV4kYO_wKzq" TargetMode="External"/><Relationship Id="rId3" Type="http://schemas.openxmlformats.org/officeDocument/2006/relationships/hyperlink" Target="https://drive.google.com/drive/u/0/folders/1wf3mdUCtu3JLGD2Q71r5_sM6V2c-WC0y" TargetMode="External"/><Relationship Id="rId12" Type="http://schemas.openxmlformats.org/officeDocument/2006/relationships/hyperlink" Target="https://drive.google.com/drive/u/0/folders/1d7ti3it_u8y68J8REpr0q9yqBK6YU4lJ" TargetMode="External"/><Relationship Id="rId17" Type="http://schemas.openxmlformats.org/officeDocument/2006/relationships/hyperlink" Target="https://drive.google.com/drive/folders/1C5nzoLOsFwPv3I12P8rlzIls9a9HvI-Q" TargetMode="External"/><Relationship Id="rId25" Type="http://schemas.openxmlformats.org/officeDocument/2006/relationships/hyperlink" Target="https://drive.google.com/drive/folders/1tJMNSKhOrmhXxn39zaFIAcAQC5edEwjW" TargetMode="External"/><Relationship Id="rId33" Type="http://schemas.openxmlformats.org/officeDocument/2006/relationships/hyperlink" Target="https://drive.google.com/drive/folders/1HCKokbTcjyYHHir-xdIH34P7HSvJc7Go" TargetMode="External"/><Relationship Id="rId38" Type="http://schemas.openxmlformats.org/officeDocument/2006/relationships/hyperlink" Target="https://drive.google.com/drive/u/1/folders/18PKHTF0Csr5hw2cGeLrMTP3O5ot05Y1a" TargetMode="External"/><Relationship Id="rId46" Type="http://schemas.openxmlformats.org/officeDocument/2006/relationships/hyperlink" Target="https://drive.google.com/drive/u/0/folders/11BB9LVSLouuPdsCb-iFLGdTDv8vvoI16" TargetMode="External"/><Relationship Id="rId20" Type="http://schemas.openxmlformats.org/officeDocument/2006/relationships/hyperlink" Target="https://drive.google.com/drive/folders/1Ldd-DlO_IfiHO0tTG-EtpyYIOZDL2vLv" TargetMode="External"/><Relationship Id="rId41" Type="http://schemas.openxmlformats.org/officeDocument/2006/relationships/hyperlink" Target="https://drive.google.com/drive/u/0/folders/1l3JMVNCP6u6yGkWDZVefg4dGCg9BZq5C" TargetMode="External"/><Relationship Id="rId1" Type="http://schemas.openxmlformats.org/officeDocument/2006/relationships/hyperlink" Target="https://drive.google.com/drive/folders/1yYuaRu0IILJ0U9egktqoPiHAs6Tj0cbS" TargetMode="External"/><Relationship Id="rId6" Type="http://schemas.openxmlformats.org/officeDocument/2006/relationships/hyperlink" Target="https://drive.google.com/drive/folders/1cn-GkyMMbTlx7DUpp9J_bQV4kYO_wKz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4"/>
  <sheetViews>
    <sheetView workbookViewId="0"/>
  </sheetViews>
  <sheetFormatPr baseColWidth="10" defaultColWidth="14.5" defaultRowHeight="15" customHeight="1" x14ac:dyDescent="0.2"/>
  <cols>
    <col min="1" max="1" width="5.1640625" customWidth="1"/>
    <col min="2" max="2" width="15.5" customWidth="1"/>
    <col min="3" max="3" width="27.1640625" customWidth="1"/>
    <col min="4" max="4" width="42.1640625" customWidth="1"/>
    <col min="5" max="5" width="40" customWidth="1"/>
    <col min="7" max="7" width="29.33203125" customWidth="1"/>
  </cols>
  <sheetData>
    <row r="1" spans="1:7" ht="15" customHeight="1" x14ac:dyDescent="0.2">
      <c r="A1" s="1" t="s">
        <v>0</v>
      </c>
      <c r="B1" s="1" t="s">
        <v>1</v>
      </c>
      <c r="C1" s="1" t="s">
        <v>2</v>
      </c>
      <c r="D1" s="2" t="s">
        <v>3</v>
      </c>
      <c r="E1" s="2" t="s">
        <v>4</v>
      </c>
      <c r="F1" s="2" t="s">
        <v>5</v>
      </c>
      <c r="G1" s="2" t="s">
        <v>6</v>
      </c>
    </row>
    <row r="2" spans="1:7" ht="15" customHeight="1" x14ac:dyDescent="0.2">
      <c r="A2" s="3">
        <v>1</v>
      </c>
      <c r="B2" s="4" t="s">
        <v>7</v>
      </c>
      <c r="C2" s="4" t="s">
        <v>8</v>
      </c>
      <c r="D2" s="5" t="s">
        <v>9</v>
      </c>
      <c r="E2" s="6"/>
      <c r="F2" s="6"/>
      <c r="G2" s="6"/>
    </row>
    <row r="3" spans="1:7" ht="15" customHeight="1" x14ac:dyDescent="0.2">
      <c r="A3" s="3">
        <v>2</v>
      </c>
      <c r="B3" s="4" t="s">
        <v>7</v>
      </c>
      <c r="C3" s="4" t="s">
        <v>10</v>
      </c>
      <c r="D3" s="5" t="s">
        <v>11</v>
      </c>
      <c r="E3" s="5" t="s">
        <v>12</v>
      </c>
      <c r="F3" s="5" t="s">
        <v>13</v>
      </c>
      <c r="G3" s="5"/>
    </row>
    <row r="4" spans="1:7" ht="15" customHeight="1" x14ac:dyDescent="0.2">
      <c r="A4" s="3">
        <v>4</v>
      </c>
      <c r="B4" s="4" t="s">
        <v>7</v>
      </c>
      <c r="C4" s="4" t="s">
        <v>14</v>
      </c>
      <c r="D4" s="5" t="s">
        <v>15</v>
      </c>
      <c r="E4" s="5" t="s">
        <v>12</v>
      </c>
      <c r="F4" s="6"/>
      <c r="G4" s="6"/>
    </row>
    <row r="5" spans="1:7" ht="15" customHeight="1" x14ac:dyDescent="0.2">
      <c r="A5" s="3">
        <v>6</v>
      </c>
      <c r="B5" s="4" t="s">
        <v>7</v>
      </c>
      <c r="C5" s="4" t="s">
        <v>16</v>
      </c>
      <c r="D5" s="5" t="s">
        <v>17</v>
      </c>
      <c r="E5" s="6"/>
      <c r="F5" s="6"/>
      <c r="G5" s="6"/>
    </row>
    <row r="6" spans="1:7" ht="15" customHeight="1" x14ac:dyDescent="0.2">
      <c r="A6" s="7">
        <v>7</v>
      </c>
      <c r="B6" s="8" t="s">
        <v>18</v>
      </c>
      <c r="C6" s="8" t="s">
        <v>19</v>
      </c>
      <c r="D6" s="9" t="s">
        <v>20</v>
      </c>
      <c r="E6" s="10"/>
      <c r="F6" s="9" t="s">
        <v>21</v>
      </c>
      <c r="G6" s="10"/>
    </row>
    <row r="7" spans="1:7" ht="15" customHeight="1" x14ac:dyDescent="0.2">
      <c r="A7" s="7">
        <v>8</v>
      </c>
      <c r="B7" s="8" t="s">
        <v>18</v>
      </c>
      <c r="C7" s="8" t="s">
        <v>22</v>
      </c>
      <c r="D7" s="9" t="s">
        <v>23</v>
      </c>
      <c r="E7" s="10"/>
      <c r="F7" s="10"/>
      <c r="G7" s="10"/>
    </row>
    <row r="8" spans="1:7" ht="15" customHeight="1" x14ac:dyDescent="0.2">
      <c r="A8" s="7">
        <v>9</v>
      </c>
      <c r="B8" s="8" t="s">
        <v>18</v>
      </c>
      <c r="C8" s="8" t="s">
        <v>24</v>
      </c>
      <c r="D8" s="9" t="s">
        <v>25</v>
      </c>
      <c r="E8" s="9" t="s">
        <v>26</v>
      </c>
      <c r="F8" s="10"/>
      <c r="G8" s="10"/>
    </row>
    <row r="9" spans="1:7" ht="15" customHeight="1" x14ac:dyDescent="0.2">
      <c r="A9" s="7">
        <v>10</v>
      </c>
      <c r="B9" s="8" t="s">
        <v>18</v>
      </c>
      <c r="C9" s="8" t="s">
        <v>27</v>
      </c>
      <c r="D9" s="9" t="s">
        <v>28</v>
      </c>
      <c r="E9" s="10"/>
      <c r="F9" s="9" t="s">
        <v>29</v>
      </c>
      <c r="G9" s="10"/>
    </row>
    <row r="10" spans="1:7" ht="15" customHeight="1" x14ac:dyDescent="0.2">
      <c r="A10" s="7">
        <v>11</v>
      </c>
      <c r="B10" s="8" t="s">
        <v>18</v>
      </c>
      <c r="C10" s="8" t="s">
        <v>30</v>
      </c>
      <c r="D10" s="9" t="s">
        <v>31</v>
      </c>
      <c r="E10" s="10"/>
      <c r="F10" s="10"/>
      <c r="G10" s="10"/>
    </row>
    <row r="11" spans="1:7" ht="15" customHeight="1" x14ac:dyDescent="0.2">
      <c r="A11" s="7">
        <v>12</v>
      </c>
      <c r="B11" s="8" t="s">
        <v>18</v>
      </c>
      <c r="C11" s="8" t="s">
        <v>32</v>
      </c>
      <c r="D11" s="9" t="s">
        <v>33</v>
      </c>
      <c r="E11" s="10"/>
      <c r="F11" s="10"/>
      <c r="G11" s="10"/>
    </row>
    <row r="12" spans="1:7" ht="15" customHeight="1" x14ac:dyDescent="0.2">
      <c r="A12" s="11">
        <v>13</v>
      </c>
      <c r="B12" s="12" t="s">
        <v>34</v>
      </c>
      <c r="C12" s="12" t="s">
        <v>35</v>
      </c>
      <c r="D12" s="13" t="s">
        <v>36</v>
      </c>
      <c r="E12" s="14"/>
      <c r="F12" s="14"/>
      <c r="G12" s="14"/>
    </row>
    <row r="13" spans="1:7" ht="15" customHeight="1" x14ac:dyDescent="0.2">
      <c r="A13" s="11">
        <v>14</v>
      </c>
      <c r="B13" s="12" t="s">
        <v>34</v>
      </c>
      <c r="C13" s="12" t="s">
        <v>37</v>
      </c>
      <c r="D13" s="13" t="s">
        <v>38</v>
      </c>
      <c r="E13" s="14"/>
      <c r="F13" s="14"/>
      <c r="G13" s="14"/>
    </row>
    <row r="14" spans="1:7" ht="15" customHeight="1" x14ac:dyDescent="0.2">
      <c r="A14" s="11">
        <v>15</v>
      </c>
      <c r="B14" s="12" t="s">
        <v>34</v>
      </c>
      <c r="C14" s="12" t="s">
        <v>39</v>
      </c>
      <c r="D14" s="13" t="s">
        <v>40</v>
      </c>
      <c r="E14" s="14"/>
      <c r="F14" s="14"/>
      <c r="G14" s="14"/>
    </row>
    <row r="15" spans="1:7" ht="15" customHeight="1" x14ac:dyDescent="0.2">
      <c r="A15" s="15">
        <v>16</v>
      </c>
      <c r="B15" s="16" t="s">
        <v>41</v>
      </c>
      <c r="C15" s="16" t="s">
        <v>42</v>
      </c>
      <c r="D15" s="17" t="s">
        <v>43</v>
      </c>
      <c r="E15" s="18"/>
      <c r="F15" s="18"/>
      <c r="G15" s="18"/>
    </row>
    <row r="16" spans="1:7" ht="15" customHeight="1" x14ac:dyDescent="0.2">
      <c r="A16" s="15">
        <v>17</v>
      </c>
      <c r="B16" s="16" t="s">
        <v>41</v>
      </c>
      <c r="C16" s="16" t="s">
        <v>44</v>
      </c>
      <c r="D16" s="17" t="s">
        <v>45</v>
      </c>
      <c r="E16" s="18"/>
      <c r="F16" s="18"/>
      <c r="G16" s="18"/>
    </row>
    <row r="17" spans="1:7" ht="15" customHeight="1" x14ac:dyDescent="0.2">
      <c r="A17" s="15">
        <v>18</v>
      </c>
      <c r="B17" s="16" t="s">
        <v>41</v>
      </c>
      <c r="C17" s="16" t="s">
        <v>46</v>
      </c>
      <c r="D17" s="17" t="s">
        <v>47</v>
      </c>
      <c r="E17" s="18"/>
      <c r="F17" s="18"/>
      <c r="G17" s="18"/>
    </row>
    <row r="18" spans="1:7" ht="15" customHeight="1" x14ac:dyDescent="0.2">
      <c r="A18" s="15">
        <v>19</v>
      </c>
      <c r="B18" s="16" t="s">
        <v>41</v>
      </c>
      <c r="C18" s="16" t="s">
        <v>48</v>
      </c>
      <c r="D18" s="17" t="s">
        <v>49</v>
      </c>
      <c r="E18" s="18"/>
      <c r="F18" s="18"/>
      <c r="G18" s="18"/>
    </row>
    <row r="19" spans="1:7" ht="15" customHeight="1" x14ac:dyDescent="0.2">
      <c r="A19" s="15">
        <v>20</v>
      </c>
      <c r="B19" s="16" t="s">
        <v>41</v>
      </c>
      <c r="C19" s="16" t="s">
        <v>50</v>
      </c>
      <c r="D19" s="17" t="s">
        <v>51</v>
      </c>
      <c r="E19" s="18"/>
      <c r="F19" s="18"/>
      <c r="G19" s="18"/>
    </row>
    <row r="20" spans="1:7" ht="15" customHeight="1" x14ac:dyDescent="0.2">
      <c r="A20" s="19">
        <v>21</v>
      </c>
      <c r="B20" s="20" t="s">
        <v>52</v>
      </c>
      <c r="C20" s="20" t="s">
        <v>53</v>
      </c>
      <c r="D20" s="21" t="s">
        <v>54</v>
      </c>
      <c r="E20" s="22"/>
      <c r="F20" s="22"/>
      <c r="G20" s="22"/>
    </row>
    <row r="21" spans="1:7" ht="15" customHeight="1" x14ac:dyDescent="0.2">
      <c r="A21" s="19">
        <v>22</v>
      </c>
      <c r="B21" s="20" t="s">
        <v>52</v>
      </c>
      <c r="C21" s="20" t="s">
        <v>55</v>
      </c>
      <c r="D21" s="21" t="s">
        <v>56</v>
      </c>
      <c r="E21" s="22"/>
      <c r="F21" s="22"/>
      <c r="G21" s="22"/>
    </row>
    <row r="22" spans="1:7" ht="15" customHeight="1" x14ac:dyDescent="0.2">
      <c r="A22" s="19">
        <v>23</v>
      </c>
      <c r="B22" s="20" t="s">
        <v>52</v>
      </c>
      <c r="C22" s="20" t="s">
        <v>57</v>
      </c>
      <c r="D22" s="21" t="s">
        <v>58</v>
      </c>
      <c r="E22" s="22"/>
      <c r="F22" s="22"/>
      <c r="G22" s="22"/>
    </row>
    <row r="23" spans="1:7" ht="15" customHeight="1" x14ac:dyDescent="0.2">
      <c r="A23" s="19">
        <v>24</v>
      </c>
      <c r="B23" s="20" t="s">
        <v>52</v>
      </c>
      <c r="C23" s="20" t="s">
        <v>59</v>
      </c>
      <c r="D23" s="21" t="s">
        <v>60</v>
      </c>
      <c r="E23" s="22"/>
      <c r="F23" s="22"/>
      <c r="G23" s="22"/>
    </row>
    <row r="24" spans="1:7" ht="15" customHeight="1" x14ac:dyDescent="0.2">
      <c r="A24" s="19">
        <v>25</v>
      </c>
      <c r="B24" s="20" t="s">
        <v>52</v>
      </c>
      <c r="C24" s="20" t="s">
        <v>61</v>
      </c>
      <c r="D24" s="21" t="s">
        <v>62</v>
      </c>
      <c r="E24" s="22"/>
      <c r="F24" s="22"/>
      <c r="G24"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3"/>
  <sheetViews>
    <sheetView tabSelected="1" workbookViewId="0">
      <pane xSplit="8" ySplit="1" topLeftCell="J2" activePane="bottomRight" state="frozen"/>
      <selection pane="topRight" activeCell="I1" sqref="I1"/>
      <selection pane="bottomLeft" activeCell="A2" sqref="A2"/>
      <selection pane="bottomRight" activeCell="J2" sqref="J2"/>
    </sheetView>
  </sheetViews>
  <sheetFormatPr baseColWidth="10" defaultColWidth="14.5" defaultRowHeight="15" customHeight="1" x14ac:dyDescent="0.2"/>
  <cols>
    <col min="1" max="1" width="8.5" customWidth="1"/>
    <col min="2" max="2" width="14.83203125" customWidth="1"/>
    <col min="3" max="4" width="8.33203125" customWidth="1"/>
    <col min="5" max="5" width="9.1640625" customWidth="1"/>
    <col min="6" max="7" width="22" customWidth="1"/>
    <col min="8" max="8" width="49.5" customWidth="1"/>
    <col min="9" max="9" width="25.83203125" customWidth="1"/>
    <col min="10" max="11" width="25" customWidth="1"/>
    <col min="12" max="12" width="29.83203125" customWidth="1"/>
    <col min="13" max="14" width="29.5" customWidth="1"/>
    <col min="15" max="15" width="22.6640625" customWidth="1"/>
    <col min="16" max="16" width="18.1640625" customWidth="1"/>
    <col min="17" max="17" width="19.5" customWidth="1"/>
    <col min="18" max="18" width="57.83203125" customWidth="1"/>
    <col min="19" max="19" width="18" customWidth="1"/>
    <col min="20" max="20" width="16.33203125" customWidth="1"/>
    <col min="21" max="21" width="17.1640625" customWidth="1"/>
    <col min="22" max="22" width="33.6640625" customWidth="1"/>
    <col min="23" max="23" width="35.5" customWidth="1"/>
    <col min="24" max="24" width="36" customWidth="1"/>
    <col min="25" max="25" width="29.1640625" customWidth="1"/>
    <col min="26" max="26" width="22.5" customWidth="1"/>
    <col min="27" max="27" width="47" customWidth="1"/>
    <col min="28" max="28" width="25" customWidth="1"/>
    <col min="29" max="29" width="8.6640625" customWidth="1"/>
  </cols>
  <sheetData>
    <row r="1" spans="1:29" ht="103.5" customHeight="1" x14ac:dyDescent="0.2">
      <c r="A1" s="40" t="s">
        <v>0</v>
      </c>
      <c r="B1" s="41" t="s">
        <v>63</v>
      </c>
      <c r="C1" s="41" t="s">
        <v>64</v>
      </c>
      <c r="D1" s="41" t="s">
        <v>65</v>
      </c>
      <c r="E1" s="41" t="s">
        <v>66</v>
      </c>
      <c r="F1" s="41" t="s">
        <v>67</v>
      </c>
      <c r="G1" s="41" t="s">
        <v>204</v>
      </c>
      <c r="H1" s="41" t="s">
        <v>68</v>
      </c>
      <c r="I1" s="41" t="s">
        <v>69</v>
      </c>
      <c r="J1" s="41" t="s">
        <v>205</v>
      </c>
      <c r="K1" s="41" t="s">
        <v>70</v>
      </c>
      <c r="L1" s="41" t="s">
        <v>71</v>
      </c>
      <c r="M1" s="41" t="s">
        <v>72</v>
      </c>
      <c r="N1" s="42" t="s">
        <v>73</v>
      </c>
      <c r="O1" s="42" t="s">
        <v>74</v>
      </c>
      <c r="P1" s="42" t="s">
        <v>75</v>
      </c>
      <c r="Q1" s="42" t="s">
        <v>76</v>
      </c>
      <c r="R1" s="42" t="s">
        <v>77</v>
      </c>
      <c r="S1" s="43" t="s">
        <v>78</v>
      </c>
      <c r="T1" s="43" t="s">
        <v>79</v>
      </c>
      <c r="U1" s="43" t="s">
        <v>80</v>
      </c>
      <c r="V1" s="44" t="s">
        <v>81</v>
      </c>
      <c r="W1" s="44" t="s">
        <v>82</v>
      </c>
      <c r="X1" s="44" t="s">
        <v>83</v>
      </c>
      <c r="Y1" s="44" t="s">
        <v>84</v>
      </c>
      <c r="Z1" s="43" t="s">
        <v>85</v>
      </c>
      <c r="AA1" s="43" t="s">
        <v>86</v>
      </c>
      <c r="AB1" s="45" t="s">
        <v>87</v>
      </c>
      <c r="AC1" s="23"/>
    </row>
    <row r="2" spans="1:29" ht="34" x14ac:dyDescent="0.2">
      <c r="A2" s="38">
        <v>1</v>
      </c>
      <c r="B2" s="24" t="s">
        <v>88</v>
      </c>
      <c r="C2" s="25"/>
      <c r="D2" s="25">
        <v>3</v>
      </c>
      <c r="E2" s="25">
        <v>1</v>
      </c>
      <c r="F2" s="26">
        <v>2026</v>
      </c>
      <c r="G2" s="26" t="s">
        <v>89</v>
      </c>
      <c r="H2" s="27" t="s">
        <v>90</v>
      </c>
      <c r="I2" s="24" t="s">
        <v>91</v>
      </c>
      <c r="J2" s="24" t="s">
        <v>91</v>
      </c>
      <c r="K2" s="24" t="s">
        <v>92</v>
      </c>
      <c r="L2" s="24" t="s">
        <v>93</v>
      </c>
      <c r="M2" s="24" t="s">
        <v>91</v>
      </c>
      <c r="N2" s="28" t="s">
        <v>94</v>
      </c>
      <c r="O2" s="29"/>
      <c r="P2" s="29"/>
      <c r="Q2" s="29"/>
      <c r="R2" s="29"/>
      <c r="S2" s="30" t="str">
        <f t="shared" ref="S2:U2" si="0">IF(V2&gt;0,"Có","Không")</f>
        <v>Có</v>
      </c>
      <c r="T2" s="30" t="str">
        <f t="shared" si="0"/>
        <v>Không</v>
      </c>
      <c r="U2" s="30" t="str">
        <f t="shared" si="0"/>
        <v>Có</v>
      </c>
      <c r="V2" s="31" t="s">
        <v>95</v>
      </c>
      <c r="W2" s="32"/>
      <c r="X2" s="31" t="s">
        <v>96</v>
      </c>
      <c r="Y2" s="32"/>
      <c r="Z2" s="30" t="str">
        <f t="shared" ref="Z2:Z53" si="1">IF(COUNTA(V2:X2)&gt;0,"Thực hiện","Không thực hiện")</f>
        <v>Thực hiện</v>
      </c>
      <c r="AA2" s="33" t="e">
        <f ca="1">_xludf.TEXTJOIN(CHAR(10), TRUE, "Thứ: "&amp;A2, "Thời gian: "&amp;B2&amp;", ngày "&amp;D2&amp;"/"&amp;E2&amp;"/"&amp;2026, "Đơn vị: "&amp;G2, "Nội dung/Chương trình: "&amp;H2, "Báo cáo viên: "&amp;I2, "Đối tượng: "&amp;K2, "Địa điểm: "&amp;L2, "Đầu mối: "&amp;M2, "Liên hệ: "&amp;N2)</f>
        <v>#NAME?</v>
      </c>
      <c r="AB2" s="39"/>
      <c r="AC2" s="23"/>
    </row>
    <row r="3" spans="1:29" ht="75.75" customHeight="1" x14ac:dyDescent="0.2">
      <c r="A3" s="38">
        <v>2</v>
      </c>
      <c r="B3" s="24" t="s">
        <v>88</v>
      </c>
      <c r="C3" s="25"/>
      <c r="D3" s="25">
        <v>10</v>
      </c>
      <c r="E3" s="25">
        <v>1</v>
      </c>
      <c r="F3" s="26">
        <v>2026</v>
      </c>
      <c r="G3" s="26" t="s">
        <v>89</v>
      </c>
      <c r="H3" s="27" t="s">
        <v>97</v>
      </c>
      <c r="I3" s="24" t="s">
        <v>91</v>
      </c>
      <c r="J3" s="24" t="s">
        <v>91</v>
      </c>
      <c r="K3" s="24" t="s">
        <v>92</v>
      </c>
      <c r="L3" s="24" t="s">
        <v>93</v>
      </c>
      <c r="M3" s="24" t="s">
        <v>91</v>
      </c>
      <c r="N3" s="28" t="s">
        <v>94</v>
      </c>
      <c r="O3" s="29"/>
      <c r="P3" s="29"/>
      <c r="Q3" s="29"/>
      <c r="R3" s="29"/>
      <c r="S3" s="30" t="str">
        <f t="shared" ref="S3:U3" si="2">IF(V3&gt;0,"Có","Không")</f>
        <v>Không</v>
      </c>
      <c r="T3" s="30" t="str">
        <f t="shared" si="2"/>
        <v>Không</v>
      </c>
      <c r="U3" s="30" t="str">
        <f t="shared" si="2"/>
        <v>Có</v>
      </c>
      <c r="V3" s="32"/>
      <c r="W3" s="32"/>
      <c r="X3" s="31" t="s">
        <v>98</v>
      </c>
      <c r="Y3" s="32"/>
      <c r="Z3" s="30" t="str">
        <f t="shared" si="1"/>
        <v>Thực hiện</v>
      </c>
      <c r="AA3" s="30"/>
      <c r="AB3" s="39"/>
      <c r="AC3" s="23"/>
    </row>
    <row r="4" spans="1:29" ht="69.75" customHeight="1" x14ac:dyDescent="0.2">
      <c r="A4" s="38">
        <v>3</v>
      </c>
      <c r="B4" s="24" t="s">
        <v>88</v>
      </c>
      <c r="C4" s="25"/>
      <c r="D4" s="25">
        <v>17</v>
      </c>
      <c r="E4" s="25">
        <v>1</v>
      </c>
      <c r="F4" s="26">
        <v>2026</v>
      </c>
      <c r="G4" s="26" t="s">
        <v>89</v>
      </c>
      <c r="H4" s="34" t="s">
        <v>99</v>
      </c>
      <c r="I4" s="24" t="s">
        <v>91</v>
      </c>
      <c r="J4" s="24" t="s">
        <v>91</v>
      </c>
      <c r="K4" s="24" t="s">
        <v>92</v>
      </c>
      <c r="L4" s="24" t="s">
        <v>93</v>
      </c>
      <c r="M4" s="24" t="s">
        <v>91</v>
      </c>
      <c r="N4" s="28" t="s">
        <v>94</v>
      </c>
      <c r="O4" s="29"/>
      <c r="P4" s="29"/>
      <c r="Q4" s="29"/>
      <c r="R4" s="29"/>
      <c r="S4" s="30" t="str">
        <f t="shared" ref="S4:U4" si="3">IF(V4&gt;0,"Có","Không")</f>
        <v>Có</v>
      </c>
      <c r="T4" s="30" t="str">
        <f t="shared" si="3"/>
        <v>Không</v>
      </c>
      <c r="U4" s="30" t="str">
        <f t="shared" si="3"/>
        <v>Có</v>
      </c>
      <c r="V4" s="31" t="s">
        <v>100</v>
      </c>
      <c r="W4" s="32"/>
      <c r="X4" s="31" t="s">
        <v>101</v>
      </c>
      <c r="Y4" s="32"/>
      <c r="Z4" s="30" t="str">
        <f t="shared" si="1"/>
        <v>Thực hiện</v>
      </c>
      <c r="AA4" s="30"/>
      <c r="AB4" s="39"/>
      <c r="AC4" s="23"/>
    </row>
    <row r="5" spans="1:29" ht="75.75" customHeight="1" x14ac:dyDescent="0.2">
      <c r="A5" s="38">
        <v>4</v>
      </c>
      <c r="B5" s="24" t="s">
        <v>88</v>
      </c>
      <c r="C5" s="25"/>
      <c r="D5" s="25">
        <v>24</v>
      </c>
      <c r="E5" s="25">
        <v>1</v>
      </c>
      <c r="F5" s="26">
        <v>2026</v>
      </c>
      <c r="G5" s="26" t="s">
        <v>89</v>
      </c>
      <c r="H5" s="27" t="s">
        <v>102</v>
      </c>
      <c r="I5" s="24" t="s">
        <v>103</v>
      </c>
      <c r="J5" s="24" t="s">
        <v>91</v>
      </c>
      <c r="K5" s="24" t="s">
        <v>92</v>
      </c>
      <c r="L5" s="24" t="s">
        <v>93</v>
      </c>
      <c r="M5" s="24" t="s">
        <v>91</v>
      </c>
      <c r="N5" s="28" t="s">
        <v>94</v>
      </c>
      <c r="O5" s="29"/>
      <c r="P5" s="29"/>
      <c r="Q5" s="29"/>
      <c r="R5" s="29"/>
      <c r="S5" s="30" t="str">
        <f t="shared" ref="S5:U5" si="4">IF(V5&gt;0,"Có","Không")</f>
        <v>Có</v>
      </c>
      <c r="T5" s="30" t="str">
        <f t="shared" si="4"/>
        <v>Không</v>
      </c>
      <c r="U5" s="30" t="str">
        <f t="shared" si="4"/>
        <v>Có</v>
      </c>
      <c r="V5" s="31" t="s">
        <v>104</v>
      </c>
      <c r="W5" s="32"/>
      <c r="X5" s="31" t="s">
        <v>105</v>
      </c>
      <c r="Y5" s="31" t="s">
        <v>106</v>
      </c>
      <c r="Z5" s="30" t="str">
        <f t="shared" si="1"/>
        <v>Thực hiện</v>
      </c>
      <c r="AA5" s="30"/>
      <c r="AB5" s="39"/>
      <c r="AC5" s="23"/>
    </row>
    <row r="6" spans="1:29" ht="73.5" customHeight="1" x14ac:dyDescent="0.2">
      <c r="A6" s="38">
        <v>5</v>
      </c>
      <c r="B6" s="24" t="s">
        <v>88</v>
      </c>
      <c r="C6" s="25"/>
      <c r="D6" s="25">
        <v>31</v>
      </c>
      <c r="E6" s="25">
        <v>1</v>
      </c>
      <c r="F6" s="26">
        <v>2026</v>
      </c>
      <c r="G6" s="26" t="s">
        <v>89</v>
      </c>
      <c r="H6" s="27" t="s">
        <v>107</v>
      </c>
      <c r="I6" s="24" t="s">
        <v>108</v>
      </c>
      <c r="J6" s="24" t="s">
        <v>91</v>
      </c>
      <c r="K6" s="24" t="s">
        <v>92</v>
      </c>
      <c r="L6" s="24" t="s">
        <v>93</v>
      </c>
      <c r="M6" s="24" t="s">
        <v>91</v>
      </c>
      <c r="N6" s="28" t="s">
        <v>94</v>
      </c>
      <c r="O6" s="29"/>
      <c r="P6" s="29"/>
      <c r="Q6" s="29"/>
      <c r="R6" s="29"/>
      <c r="S6" s="30" t="str">
        <f t="shared" ref="S6:U6" si="5">IF(V6&gt;0,"Có","Không")</f>
        <v>Có</v>
      </c>
      <c r="T6" s="30" t="str">
        <f t="shared" si="5"/>
        <v>Không</v>
      </c>
      <c r="U6" s="30" t="str">
        <f t="shared" si="5"/>
        <v>Có</v>
      </c>
      <c r="V6" s="31" t="s">
        <v>109</v>
      </c>
      <c r="W6" s="32"/>
      <c r="X6" s="31" t="s">
        <v>110</v>
      </c>
      <c r="Y6" s="32"/>
      <c r="Z6" s="30" t="str">
        <f t="shared" si="1"/>
        <v>Thực hiện</v>
      </c>
      <c r="AA6" s="30"/>
      <c r="AB6" s="39"/>
      <c r="AC6" s="23"/>
    </row>
    <row r="7" spans="1:29" ht="33" customHeight="1" x14ac:dyDescent="0.2">
      <c r="A7" s="38">
        <v>6</v>
      </c>
      <c r="B7" s="24" t="s">
        <v>88</v>
      </c>
      <c r="C7" s="25"/>
      <c r="D7" s="25">
        <v>7</v>
      </c>
      <c r="E7" s="25">
        <v>2</v>
      </c>
      <c r="F7" s="26">
        <v>2026</v>
      </c>
      <c r="G7" s="26" t="s">
        <v>89</v>
      </c>
      <c r="H7" s="27" t="s">
        <v>111</v>
      </c>
      <c r="I7" s="24" t="s">
        <v>112</v>
      </c>
      <c r="J7" s="24" t="s">
        <v>91</v>
      </c>
      <c r="K7" s="24" t="s">
        <v>92</v>
      </c>
      <c r="L7" s="24" t="s">
        <v>93</v>
      </c>
      <c r="M7" s="24" t="s">
        <v>91</v>
      </c>
      <c r="N7" s="28" t="s">
        <v>94</v>
      </c>
      <c r="O7" s="29"/>
      <c r="P7" s="29"/>
      <c r="Q7" s="29"/>
      <c r="R7" s="29"/>
      <c r="S7" s="30" t="str">
        <f t="shared" ref="S7:U7" si="6">IF(V7&gt;0,"Có","Không")</f>
        <v>Có</v>
      </c>
      <c r="T7" s="30" t="str">
        <f t="shared" si="6"/>
        <v>Không</v>
      </c>
      <c r="U7" s="30" t="str">
        <f t="shared" si="6"/>
        <v>Có</v>
      </c>
      <c r="V7" s="31" t="s">
        <v>113</v>
      </c>
      <c r="W7" s="32"/>
      <c r="X7" s="31" t="s">
        <v>114</v>
      </c>
      <c r="Y7" s="31" t="s">
        <v>115</v>
      </c>
      <c r="Z7" s="30" t="str">
        <f t="shared" si="1"/>
        <v>Thực hiện</v>
      </c>
      <c r="AA7" s="30"/>
      <c r="AB7" s="39"/>
      <c r="AC7" s="23"/>
    </row>
    <row r="8" spans="1:29" ht="50.25" customHeight="1" x14ac:dyDescent="0.2">
      <c r="A8" s="38">
        <v>7</v>
      </c>
      <c r="B8" s="24" t="s">
        <v>88</v>
      </c>
      <c r="C8" s="25"/>
      <c r="D8" s="25">
        <v>14</v>
      </c>
      <c r="E8" s="25">
        <v>2</v>
      </c>
      <c r="F8" s="26">
        <v>2026</v>
      </c>
      <c r="G8" s="26" t="s">
        <v>89</v>
      </c>
      <c r="H8" s="27" t="s">
        <v>116</v>
      </c>
      <c r="I8" s="24" t="s">
        <v>112</v>
      </c>
      <c r="J8" s="24" t="s">
        <v>91</v>
      </c>
      <c r="K8" s="24" t="s">
        <v>92</v>
      </c>
      <c r="L8" s="24" t="s">
        <v>93</v>
      </c>
      <c r="M8" s="24" t="s">
        <v>91</v>
      </c>
      <c r="N8" s="28" t="s">
        <v>94</v>
      </c>
      <c r="O8" s="29"/>
      <c r="P8" s="29"/>
      <c r="Q8" s="29"/>
      <c r="R8" s="29"/>
      <c r="S8" s="30" t="str">
        <f t="shared" ref="S8:U8" si="7">IF(V8&gt;0,"Có","Không")</f>
        <v>Có</v>
      </c>
      <c r="T8" s="30" t="str">
        <f t="shared" si="7"/>
        <v>Không</v>
      </c>
      <c r="U8" s="30" t="str">
        <f t="shared" si="7"/>
        <v>Có</v>
      </c>
      <c r="V8" s="31" t="s">
        <v>113</v>
      </c>
      <c r="W8" s="32"/>
      <c r="X8" s="31" t="s">
        <v>117</v>
      </c>
      <c r="Y8" s="31" t="s">
        <v>118</v>
      </c>
      <c r="Z8" s="30" t="str">
        <f t="shared" si="1"/>
        <v>Thực hiện</v>
      </c>
      <c r="AA8" s="30"/>
      <c r="AB8" s="39"/>
      <c r="AC8" s="23"/>
    </row>
    <row r="9" spans="1:29" ht="51" x14ac:dyDescent="0.2">
      <c r="A9" s="38">
        <v>8</v>
      </c>
      <c r="B9" s="24" t="s">
        <v>88</v>
      </c>
      <c r="C9" s="25"/>
      <c r="D9" s="25">
        <v>21</v>
      </c>
      <c r="E9" s="25">
        <v>2</v>
      </c>
      <c r="F9" s="26">
        <v>2026</v>
      </c>
      <c r="G9" s="26" t="s">
        <v>89</v>
      </c>
      <c r="H9" s="27" t="s">
        <v>119</v>
      </c>
      <c r="I9" s="24" t="s">
        <v>120</v>
      </c>
      <c r="J9" s="24" t="s">
        <v>91</v>
      </c>
      <c r="K9" s="24" t="s">
        <v>92</v>
      </c>
      <c r="L9" s="24" t="s">
        <v>93</v>
      </c>
      <c r="M9" s="24" t="s">
        <v>91</v>
      </c>
      <c r="N9" s="28" t="s">
        <v>94</v>
      </c>
      <c r="O9" s="29"/>
      <c r="P9" s="29"/>
      <c r="Q9" s="29"/>
      <c r="R9" s="29"/>
      <c r="S9" s="30" t="str">
        <f t="shared" ref="S9:U9" si="8">IF(V9&gt;0,"Có","Không")</f>
        <v>Không</v>
      </c>
      <c r="T9" s="30" t="str">
        <f t="shared" si="8"/>
        <v>Không</v>
      </c>
      <c r="U9" s="30" t="str">
        <f t="shared" si="8"/>
        <v>Không</v>
      </c>
      <c r="V9" s="32"/>
      <c r="W9" s="32"/>
      <c r="X9" s="32"/>
      <c r="Y9" s="32"/>
      <c r="Z9" s="30" t="str">
        <f t="shared" si="1"/>
        <v>Không thực hiện</v>
      </c>
      <c r="AA9" s="30"/>
      <c r="AB9" s="39" t="s">
        <v>121</v>
      </c>
      <c r="AC9" s="23"/>
    </row>
    <row r="10" spans="1:29" ht="34" x14ac:dyDescent="0.2">
      <c r="A10" s="38">
        <v>9</v>
      </c>
      <c r="B10" s="24" t="s">
        <v>88</v>
      </c>
      <c r="C10" s="25"/>
      <c r="D10" s="25">
        <v>28</v>
      </c>
      <c r="E10" s="25">
        <v>2</v>
      </c>
      <c r="F10" s="26">
        <v>2026</v>
      </c>
      <c r="G10" s="26" t="s">
        <v>89</v>
      </c>
      <c r="H10" s="27" t="s">
        <v>122</v>
      </c>
      <c r="I10" s="24" t="s">
        <v>103</v>
      </c>
      <c r="J10" s="24" t="s">
        <v>91</v>
      </c>
      <c r="K10" s="24" t="s">
        <v>92</v>
      </c>
      <c r="L10" s="24" t="s">
        <v>93</v>
      </c>
      <c r="M10" s="24" t="s">
        <v>91</v>
      </c>
      <c r="N10" s="28" t="s">
        <v>94</v>
      </c>
      <c r="O10" s="29"/>
      <c r="P10" s="29"/>
      <c r="Q10" s="29"/>
      <c r="R10" s="29"/>
      <c r="S10" s="30" t="str">
        <f t="shared" ref="S10:U10" si="9">IF(V10&gt;0,"Có","Không")</f>
        <v>Có</v>
      </c>
      <c r="T10" s="30" t="str">
        <f t="shared" si="9"/>
        <v>Không</v>
      </c>
      <c r="U10" s="30" t="str">
        <f t="shared" si="9"/>
        <v>Có</v>
      </c>
      <c r="V10" s="31" t="s">
        <v>123</v>
      </c>
      <c r="W10" s="32"/>
      <c r="X10" s="31" t="s">
        <v>124</v>
      </c>
      <c r="Y10" s="32"/>
      <c r="Z10" s="30" t="str">
        <f t="shared" si="1"/>
        <v>Thực hiện</v>
      </c>
      <c r="AA10" s="30"/>
      <c r="AB10" s="39"/>
      <c r="AC10" s="23"/>
    </row>
    <row r="11" spans="1:29" ht="34" x14ac:dyDescent="0.2">
      <c r="A11" s="38">
        <v>10</v>
      </c>
      <c r="B11" s="24" t="s">
        <v>88</v>
      </c>
      <c r="C11" s="25"/>
      <c r="D11" s="25">
        <v>7</v>
      </c>
      <c r="E11" s="25">
        <v>3</v>
      </c>
      <c r="F11" s="26">
        <v>2026</v>
      </c>
      <c r="G11" s="26" t="s">
        <v>89</v>
      </c>
      <c r="H11" s="27" t="s">
        <v>125</v>
      </c>
      <c r="I11" s="24" t="s">
        <v>126</v>
      </c>
      <c r="J11" s="24" t="s">
        <v>91</v>
      </c>
      <c r="K11" s="24" t="s">
        <v>92</v>
      </c>
      <c r="L11" s="24" t="s">
        <v>93</v>
      </c>
      <c r="M11" s="24" t="s">
        <v>91</v>
      </c>
      <c r="N11" s="28" t="s">
        <v>94</v>
      </c>
      <c r="O11" s="29"/>
      <c r="P11" s="29"/>
      <c r="Q11" s="29"/>
      <c r="R11" s="29"/>
      <c r="S11" s="30" t="str">
        <f t="shared" ref="S11:U11" si="10">IF(V11&gt;0,"Có","Không")</f>
        <v>Có</v>
      </c>
      <c r="T11" s="30" t="str">
        <f t="shared" si="10"/>
        <v>Không</v>
      </c>
      <c r="U11" s="30" t="str">
        <f t="shared" si="10"/>
        <v>Có</v>
      </c>
      <c r="V11" s="31" t="s">
        <v>127</v>
      </c>
      <c r="W11" s="32"/>
      <c r="X11" s="31" t="s">
        <v>128</v>
      </c>
      <c r="Y11" s="32"/>
      <c r="Z11" s="30" t="str">
        <f t="shared" si="1"/>
        <v>Thực hiện</v>
      </c>
      <c r="AA11" s="30"/>
      <c r="AB11" s="39"/>
      <c r="AC11" s="23"/>
    </row>
    <row r="12" spans="1:29" ht="51" x14ac:dyDescent="0.2">
      <c r="A12" s="38">
        <v>11</v>
      </c>
      <c r="B12" s="24" t="s">
        <v>88</v>
      </c>
      <c r="C12" s="25"/>
      <c r="D12" s="25">
        <v>14</v>
      </c>
      <c r="E12" s="25">
        <v>3</v>
      </c>
      <c r="F12" s="26">
        <v>2026</v>
      </c>
      <c r="G12" s="26" t="s">
        <v>89</v>
      </c>
      <c r="H12" s="27" t="s">
        <v>129</v>
      </c>
      <c r="I12" s="24" t="s">
        <v>91</v>
      </c>
      <c r="J12" s="24" t="s">
        <v>91</v>
      </c>
      <c r="K12" s="24" t="s">
        <v>92</v>
      </c>
      <c r="L12" s="24" t="s">
        <v>93</v>
      </c>
      <c r="M12" s="24" t="s">
        <v>91</v>
      </c>
      <c r="N12" s="28" t="s">
        <v>94</v>
      </c>
      <c r="O12" s="29"/>
      <c r="P12" s="29"/>
      <c r="Q12" s="29"/>
      <c r="R12" s="29"/>
      <c r="S12" s="30" t="str">
        <f t="shared" ref="S12:U12" si="11">IF(V12&gt;0,"Có","Không")</f>
        <v>Có</v>
      </c>
      <c r="T12" s="30" t="str">
        <f t="shared" si="11"/>
        <v>Không</v>
      </c>
      <c r="U12" s="30" t="str">
        <f t="shared" si="11"/>
        <v>Có</v>
      </c>
      <c r="V12" s="31" t="s">
        <v>130</v>
      </c>
      <c r="W12" s="32"/>
      <c r="X12" s="31" t="s">
        <v>131</v>
      </c>
      <c r="Y12" s="32"/>
      <c r="Z12" s="30" t="str">
        <f t="shared" si="1"/>
        <v>Thực hiện</v>
      </c>
      <c r="AA12" s="30"/>
      <c r="AB12" s="39"/>
      <c r="AC12" s="23"/>
    </row>
    <row r="13" spans="1:29" ht="34" x14ac:dyDescent="0.2">
      <c r="A13" s="38">
        <v>12</v>
      </c>
      <c r="B13" s="24" t="s">
        <v>88</v>
      </c>
      <c r="C13" s="25"/>
      <c r="D13" s="25">
        <v>21</v>
      </c>
      <c r="E13" s="25">
        <v>3</v>
      </c>
      <c r="F13" s="26">
        <v>2026</v>
      </c>
      <c r="G13" s="26" t="s">
        <v>89</v>
      </c>
      <c r="H13" s="27" t="s">
        <v>132</v>
      </c>
      <c r="I13" s="24" t="s">
        <v>103</v>
      </c>
      <c r="J13" s="24" t="s">
        <v>91</v>
      </c>
      <c r="K13" s="24" t="s">
        <v>92</v>
      </c>
      <c r="L13" s="24" t="s">
        <v>93</v>
      </c>
      <c r="M13" s="24" t="s">
        <v>91</v>
      </c>
      <c r="N13" s="28" t="s">
        <v>94</v>
      </c>
      <c r="O13" s="29"/>
      <c r="P13" s="29"/>
      <c r="Q13" s="29"/>
      <c r="R13" s="29"/>
      <c r="S13" s="30" t="str">
        <f t="shared" ref="S13:U13" si="12">IF(V13&gt;0,"Có","Không")</f>
        <v>Có</v>
      </c>
      <c r="T13" s="30" t="str">
        <f t="shared" si="12"/>
        <v>Không</v>
      </c>
      <c r="U13" s="30" t="str">
        <f t="shared" si="12"/>
        <v>Có</v>
      </c>
      <c r="V13" s="31" t="s">
        <v>133</v>
      </c>
      <c r="W13" s="32"/>
      <c r="X13" s="31" t="s">
        <v>134</v>
      </c>
      <c r="Y13" s="31" t="s">
        <v>135</v>
      </c>
      <c r="Z13" s="30" t="str">
        <f t="shared" si="1"/>
        <v>Thực hiện</v>
      </c>
      <c r="AA13" s="30"/>
      <c r="AB13" s="39"/>
      <c r="AC13" s="23"/>
    </row>
    <row r="14" spans="1:29" ht="34" x14ac:dyDescent="0.2">
      <c r="A14" s="38">
        <v>13</v>
      </c>
      <c r="B14" s="24" t="s">
        <v>88</v>
      </c>
      <c r="C14" s="25"/>
      <c r="D14" s="25">
        <v>28</v>
      </c>
      <c r="E14" s="25">
        <v>3</v>
      </c>
      <c r="F14" s="26">
        <v>2026</v>
      </c>
      <c r="G14" s="26" t="s">
        <v>89</v>
      </c>
      <c r="H14" s="27" t="s">
        <v>136</v>
      </c>
      <c r="I14" s="24" t="s">
        <v>91</v>
      </c>
      <c r="J14" s="24" t="s">
        <v>91</v>
      </c>
      <c r="K14" s="24" t="s">
        <v>92</v>
      </c>
      <c r="L14" s="24" t="s">
        <v>93</v>
      </c>
      <c r="M14" s="24" t="s">
        <v>91</v>
      </c>
      <c r="N14" s="28" t="s">
        <v>94</v>
      </c>
      <c r="O14" s="29"/>
      <c r="P14" s="29"/>
      <c r="Q14" s="29"/>
      <c r="R14" s="29"/>
      <c r="S14" s="30" t="str">
        <f t="shared" ref="S14:U14" si="13">IF(V14&gt;0,"Có","Không")</f>
        <v>Có</v>
      </c>
      <c r="T14" s="30" t="str">
        <f t="shared" si="13"/>
        <v>Không</v>
      </c>
      <c r="U14" s="30" t="str">
        <f t="shared" si="13"/>
        <v>Có</v>
      </c>
      <c r="V14" s="31" t="s">
        <v>137</v>
      </c>
      <c r="W14" s="32"/>
      <c r="X14" s="31" t="s">
        <v>138</v>
      </c>
      <c r="Y14" s="31" t="s">
        <v>139</v>
      </c>
      <c r="Z14" s="30" t="str">
        <f t="shared" si="1"/>
        <v>Thực hiện</v>
      </c>
      <c r="AA14" s="30"/>
      <c r="AB14" s="39"/>
      <c r="AC14" s="23"/>
    </row>
    <row r="15" spans="1:29" ht="51" x14ac:dyDescent="0.2">
      <c r="A15" s="38">
        <v>14</v>
      </c>
      <c r="B15" s="24" t="s">
        <v>88</v>
      </c>
      <c r="C15" s="25"/>
      <c r="D15" s="25">
        <v>4</v>
      </c>
      <c r="E15" s="25">
        <v>4</v>
      </c>
      <c r="F15" s="26">
        <v>2026</v>
      </c>
      <c r="G15" s="26" t="s">
        <v>89</v>
      </c>
      <c r="H15" s="27" t="s">
        <v>140</v>
      </c>
      <c r="I15" s="24" t="s">
        <v>91</v>
      </c>
      <c r="J15" s="24" t="s">
        <v>91</v>
      </c>
      <c r="K15" s="24" t="s">
        <v>92</v>
      </c>
      <c r="L15" s="24" t="s">
        <v>93</v>
      </c>
      <c r="M15" s="24" t="s">
        <v>91</v>
      </c>
      <c r="N15" s="28" t="s">
        <v>94</v>
      </c>
      <c r="O15" s="29"/>
      <c r="P15" s="29"/>
      <c r="Q15" s="29"/>
      <c r="R15" s="29"/>
      <c r="S15" s="30" t="str">
        <f t="shared" ref="S15:U15" si="14">IF(V15&gt;0,"Có","Không")</f>
        <v>Có</v>
      </c>
      <c r="T15" s="30" t="str">
        <f t="shared" si="14"/>
        <v>Không</v>
      </c>
      <c r="U15" s="30" t="str">
        <f t="shared" si="14"/>
        <v>Có</v>
      </c>
      <c r="V15" s="31" t="s">
        <v>141</v>
      </c>
      <c r="W15" s="32"/>
      <c r="X15" s="31" t="s">
        <v>142</v>
      </c>
      <c r="Y15" s="31" t="s">
        <v>143</v>
      </c>
      <c r="Z15" s="30" t="str">
        <f t="shared" si="1"/>
        <v>Thực hiện</v>
      </c>
      <c r="AA15" s="35"/>
      <c r="AB15" s="39"/>
      <c r="AC15" s="23"/>
    </row>
    <row r="16" spans="1:29" ht="51" x14ac:dyDescent="0.2">
      <c r="A16" s="38">
        <v>15</v>
      </c>
      <c r="B16" s="24" t="s">
        <v>88</v>
      </c>
      <c r="C16" s="25"/>
      <c r="D16" s="25">
        <v>11</v>
      </c>
      <c r="E16" s="25">
        <v>4</v>
      </c>
      <c r="F16" s="26">
        <v>2026</v>
      </c>
      <c r="G16" s="26" t="s">
        <v>89</v>
      </c>
      <c r="H16" s="27" t="s">
        <v>144</v>
      </c>
      <c r="I16" s="24" t="s">
        <v>91</v>
      </c>
      <c r="J16" s="24" t="s">
        <v>91</v>
      </c>
      <c r="K16" s="24" t="s">
        <v>92</v>
      </c>
      <c r="L16" s="24" t="s">
        <v>93</v>
      </c>
      <c r="M16" s="24" t="s">
        <v>91</v>
      </c>
      <c r="N16" s="28" t="s">
        <v>94</v>
      </c>
      <c r="O16" s="29"/>
      <c r="P16" s="29"/>
      <c r="Q16" s="29"/>
      <c r="R16" s="29"/>
      <c r="S16" s="30" t="str">
        <f t="shared" ref="S16:U16" si="15">IF(V16&gt;0,"Có","Không")</f>
        <v>Có</v>
      </c>
      <c r="T16" s="30" t="str">
        <f t="shared" si="15"/>
        <v>Không</v>
      </c>
      <c r="U16" s="30" t="str">
        <f t="shared" si="15"/>
        <v>Có</v>
      </c>
      <c r="V16" s="31" t="s">
        <v>145</v>
      </c>
      <c r="W16" s="32"/>
      <c r="X16" s="31" t="s">
        <v>146</v>
      </c>
      <c r="Y16" s="32"/>
      <c r="Z16" s="30" t="str">
        <f t="shared" si="1"/>
        <v>Thực hiện</v>
      </c>
      <c r="AA16" s="35"/>
      <c r="AB16" s="39"/>
      <c r="AC16" s="23"/>
    </row>
    <row r="17" spans="1:29" ht="36" customHeight="1" x14ac:dyDescent="0.2">
      <c r="A17" s="38">
        <v>16</v>
      </c>
      <c r="B17" s="24" t="s">
        <v>88</v>
      </c>
      <c r="C17" s="25"/>
      <c r="D17" s="25">
        <v>17</v>
      </c>
      <c r="E17" s="25">
        <v>4</v>
      </c>
      <c r="F17" s="26">
        <v>2026</v>
      </c>
      <c r="G17" s="26" t="s">
        <v>89</v>
      </c>
      <c r="H17" s="27" t="s">
        <v>147</v>
      </c>
      <c r="I17" s="24" t="s">
        <v>148</v>
      </c>
      <c r="J17" s="24" t="s">
        <v>91</v>
      </c>
      <c r="K17" s="24" t="s">
        <v>92</v>
      </c>
      <c r="L17" s="24" t="s">
        <v>93</v>
      </c>
      <c r="M17" s="24" t="s">
        <v>91</v>
      </c>
      <c r="N17" s="28" t="s">
        <v>94</v>
      </c>
      <c r="O17" s="29"/>
      <c r="P17" s="29"/>
      <c r="Q17" s="29"/>
      <c r="R17" s="29"/>
      <c r="S17" s="30" t="str">
        <f t="shared" ref="S17:U17" si="16">IF(V17&gt;0,"Có","Không")</f>
        <v>Có</v>
      </c>
      <c r="T17" s="30" t="str">
        <f t="shared" si="16"/>
        <v>Không</v>
      </c>
      <c r="U17" s="30" t="str">
        <f t="shared" si="16"/>
        <v>Có</v>
      </c>
      <c r="V17" s="31" t="s">
        <v>149</v>
      </c>
      <c r="W17" s="32"/>
      <c r="X17" s="31" t="s">
        <v>150</v>
      </c>
      <c r="Y17" s="32"/>
      <c r="Z17" s="30" t="str">
        <f t="shared" si="1"/>
        <v>Thực hiện</v>
      </c>
      <c r="AA17" s="35"/>
      <c r="AB17" s="39"/>
      <c r="AC17" s="23"/>
    </row>
    <row r="18" spans="1:29" ht="34" x14ac:dyDescent="0.2">
      <c r="A18" s="38">
        <v>17</v>
      </c>
      <c r="B18" s="24" t="s">
        <v>88</v>
      </c>
      <c r="C18" s="25"/>
      <c r="D18" s="25">
        <v>25</v>
      </c>
      <c r="E18" s="25">
        <v>4</v>
      </c>
      <c r="F18" s="26">
        <v>2026</v>
      </c>
      <c r="G18" s="26" t="s">
        <v>89</v>
      </c>
      <c r="H18" s="27" t="s">
        <v>151</v>
      </c>
      <c r="I18" s="24" t="s">
        <v>152</v>
      </c>
      <c r="J18" s="24" t="s">
        <v>91</v>
      </c>
      <c r="K18" s="24" t="s">
        <v>92</v>
      </c>
      <c r="L18" s="24" t="s">
        <v>93</v>
      </c>
      <c r="M18" s="24" t="s">
        <v>91</v>
      </c>
      <c r="N18" s="28" t="s">
        <v>94</v>
      </c>
      <c r="O18" s="29">
        <v>20</v>
      </c>
      <c r="P18" s="29">
        <v>20</v>
      </c>
      <c r="Q18" s="29">
        <v>0</v>
      </c>
      <c r="R18" s="29" t="s">
        <v>153</v>
      </c>
      <c r="S18" s="30" t="str">
        <f t="shared" ref="S18:U18" si="17">IF(V18&gt;0,"Có","Không")</f>
        <v>Có</v>
      </c>
      <c r="T18" s="30" t="str">
        <f t="shared" si="17"/>
        <v>Có</v>
      </c>
      <c r="U18" s="30" t="str">
        <f t="shared" si="17"/>
        <v>Có</v>
      </c>
      <c r="V18" s="31" t="s">
        <v>154</v>
      </c>
      <c r="W18" s="31" t="s">
        <v>155</v>
      </c>
      <c r="X18" s="31" t="s">
        <v>156</v>
      </c>
      <c r="Y18" s="31" t="s">
        <v>157</v>
      </c>
      <c r="Z18" s="30" t="str">
        <f t="shared" si="1"/>
        <v>Thực hiện</v>
      </c>
      <c r="AA18" s="35"/>
      <c r="AB18" s="39"/>
      <c r="AC18" s="23"/>
    </row>
    <row r="19" spans="1:29" ht="51" x14ac:dyDescent="0.2">
      <c r="A19" s="38">
        <v>18</v>
      </c>
      <c r="B19" s="24" t="s">
        <v>158</v>
      </c>
      <c r="C19" s="25"/>
      <c r="D19" s="25">
        <v>5</v>
      </c>
      <c r="E19" s="25">
        <v>5</v>
      </c>
      <c r="F19" s="26">
        <v>2026</v>
      </c>
      <c r="G19" s="26" t="s">
        <v>89</v>
      </c>
      <c r="H19" s="27" t="s">
        <v>159</v>
      </c>
      <c r="I19" s="24" t="s">
        <v>103</v>
      </c>
      <c r="J19" s="24" t="s">
        <v>91</v>
      </c>
      <c r="K19" s="24" t="s">
        <v>92</v>
      </c>
      <c r="L19" s="24" t="s">
        <v>93</v>
      </c>
      <c r="M19" s="24" t="s">
        <v>91</v>
      </c>
      <c r="N19" s="28" t="s">
        <v>94</v>
      </c>
      <c r="O19" s="29">
        <v>25</v>
      </c>
      <c r="P19" s="29">
        <v>25</v>
      </c>
      <c r="Q19" s="29">
        <v>0</v>
      </c>
      <c r="R19" s="29" t="s">
        <v>153</v>
      </c>
      <c r="S19" s="30" t="str">
        <f t="shared" ref="S19:U19" si="18">IF(V19&gt;0,"Có","Không")</f>
        <v>Có</v>
      </c>
      <c r="T19" s="30" t="str">
        <f t="shared" si="18"/>
        <v>Có</v>
      </c>
      <c r="U19" s="30" t="str">
        <f t="shared" si="18"/>
        <v>Có</v>
      </c>
      <c r="V19" s="31" t="s">
        <v>160</v>
      </c>
      <c r="W19" s="31" t="s">
        <v>161</v>
      </c>
      <c r="X19" s="36" t="s">
        <v>162</v>
      </c>
      <c r="Y19" s="32"/>
      <c r="Z19" s="30" t="str">
        <f t="shared" si="1"/>
        <v>Thực hiện</v>
      </c>
      <c r="AA19" s="35"/>
      <c r="AB19" s="39"/>
      <c r="AC19" s="23"/>
    </row>
    <row r="20" spans="1:29" ht="51" x14ac:dyDescent="0.2">
      <c r="A20" s="38">
        <v>19</v>
      </c>
      <c r="B20" s="24" t="s">
        <v>88</v>
      </c>
      <c r="C20" s="25"/>
      <c r="D20" s="25">
        <v>9</v>
      </c>
      <c r="E20" s="25">
        <v>5</v>
      </c>
      <c r="F20" s="26">
        <v>2026</v>
      </c>
      <c r="G20" s="26" t="s">
        <v>89</v>
      </c>
      <c r="H20" s="27" t="s">
        <v>163</v>
      </c>
      <c r="I20" s="24" t="s">
        <v>112</v>
      </c>
      <c r="J20" s="24" t="s">
        <v>112</v>
      </c>
      <c r="K20" s="24" t="s">
        <v>92</v>
      </c>
      <c r="L20" s="24" t="s">
        <v>93</v>
      </c>
      <c r="M20" s="24" t="s">
        <v>91</v>
      </c>
      <c r="N20" s="28" t="s">
        <v>94</v>
      </c>
      <c r="O20" s="29">
        <v>22</v>
      </c>
      <c r="P20" s="29">
        <v>22</v>
      </c>
      <c r="Q20" s="29">
        <v>0</v>
      </c>
      <c r="R20" s="29" t="s">
        <v>153</v>
      </c>
      <c r="S20" s="30" t="str">
        <f t="shared" ref="S20:U20" si="19">IF(V20&gt;0,"Có","Không")</f>
        <v>Có</v>
      </c>
      <c r="T20" s="30" t="str">
        <f t="shared" si="19"/>
        <v>Có</v>
      </c>
      <c r="U20" s="30" t="str">
        <f t="shared" si="19"/>
        <v>Có</v>
      </c>
      <c r="V20" s="31" t="s">
        <v>164</v>
      </c>
      <c r="W20" s="31" t="s">
        <v>165</v>
      </c>
      <c r="X20" s="31" t="s">
        <v>166</v>
      </c>
      <c r="Y20" s="31" t="s">
        <v>167</v>
      </c>
      <c r="Z20" s="30" t="str">
        <f t="shared" si="1"/>
        <v>Thực hiện</v>
      </c>
      <c r="AA20" s="35"/>
      <c r="AB20" s="39"/>
      <c r="AC20" s="23"/>
    </row>
    <row r="21" spans="1:29" ht="34" x14ac:dyDescent="0.2">
      <c r="A21" s="38">
        <v>20</v>
      </c>
      <c r="B21" s="24" t="s">
        <v>88</v>
      </c>
      <c r="C21" s="25"/>
      <c r="D21" s="25">
        <v>16</v>
      </c>
      <c r="E21" s="25">
        <v>5</v>
      </c>
      <c r="F21" s="26">
        <v>2026</v>
      </c>
      <c r="G21" s="26" t="s">
        <v>89</v>
      </c>
      <c r="H21" s="27" t="s">
        <v>168</v>
      </c>
      <c r="I21" s="24" t="s">
        <v>103</v>
      </c>
      <c r="J21" s="24" t="s">
        <v>103</v>
      </c>
      <c r="K21" s="24" t="s">
        <v>92</v>
      </c>
      <c r="L21" s="24" t="s">
        <v>93</v>
      </c>
      <c r="M21" s="24" t="s">
        <v>91</v>
      </c>
      <c r="N21" s="28" t="s">
        <v>94</v>
      </c>
      <c r="O21" s="29">
        <v>23</v>
      </c>
      <c r="P21" s="29">
        <v>23</v>
      </c>
      <c r="Q21" s="29">
        <v>0</v>
      </c>
      <c r="R21" s="29" t="s">
        <v>153</v>
      </c>
      <c r="S21" s="30" t="str">
        <f t="shared" ref="S21:U21" si="20">IF(V21&gt;0,"Có","Không")</f>
        <v>Có</v>
      </c>
      <c r="T21" s="30" t="str">
        <f t="shared" si="20"/>
        <v>Có</v>
      </c>
      <c r="U21" s="30" t="str">
        <f t="shared" si="20"/>
        <v>Có</v>
      </c>
      <c r="V21" s="31" t="s">
        <v>169</v>
      </c>
      <c r="W21" s="31" t="s">
        <v>170</v>
      </c>
      <c r="X21" s="31" t="s">
        <v>171</v>
      </c>
      <c r="Y21" s="32"/>
      <c r="Z21" s="30" t="str">
        <f t="shared" si="1"/>
        <v>Thực hiện</v>
      </c>
      <c r="AA21" s="35"/>
      <c r="AB21" s="39"/>
      <c r="AC21" s="23"/>
    </row>
    <row r="22" spans="1:29" ht="38.25" customHeight="1" x14ac:dyDescent="0.2">
      <c r="A22" s="38">
        <v>21</v>
      </c>
      <c r="B22" s="24" t="s">
        <v>88</v>
      </c>
      <c r="C22" s="25"/>
      <c r="D22" s="25">
        <v>23</v>
      </c>
      <c r="E22" s="25">
        <v>5</v>
      </c>
      <c r="F22" s="26">
        <v>2026</v>
      </c>
      <c r="G22" s="26" t="s">
        <v>89</v>
      </c>
      <c r="H22" s="27" t="s">
        <v>172</v>
      </c>
      <c r="I22" s="24" t="s">
        <v>120</v>
      </c>
      <c r="J22" s="24" t="s">
        <v>120</v>
      </c>
      <c r="K22" s="24" t="s">
        <v>92</v>
      </c>
      <c r="L22" s="24" t="s">
        <v>93</v>
      </c>
      <c r="M22" s="24" t="s">
        <v>103</v>
      </c>
      <c r="N22" s="28" t="s">
        <v>173</v>
      </c>
      <c r="O22" s="29"/>
      <c r="P22" s="29"/>
      <c r="Q22" s="29"/>
      <c r="R22" s="29"/>
      <c r="S22" s="30" t="str">
        <f t="shared" ref="S22:U22" si="21">IF(V22&gt;0,"Có","Không")</f>
        <v>Không</v>
      </c>
      <c r="T22" s="30" t="str">
        <f t="shared" si="21"/>
        <v>Không</v>
      </c>
      <c r="U22" s="30" t="str">
        <f t="shared" si="21"/>
        <v>Không</v>
      </c>
      <c r="V22" s="32"/>
      <c r="W22" s="32"/>
      <c r="X22" s="32"/>
      <c r="Y22" s="32"/>
      <c r="Z22" s="30" t="str">
        <f t="shared" si="1"/>
        <v>Không thực hiện</v>
      </c>
      <c r="AA22" s="35"/>
      <c r="AB22" s="39"/>
      <c r="AC22" s="23"/>
    </row>
    <row r="23" spans="1:29" ht="39" customHeight="1" x14ac:dyDescent="0.2">
      <c r="A23" s="38">
        <v>22</v>
      </c>
      <c r="B23" s="24" t="s">
        <v>88</v>
      </c>
      <c r="C23" s="25"/>
      <c r="D23" s="25">
        <v>30</v>
      </c>
      <c r="E23" s="25">
        <v>5</v>
      </c>
      <c r="F23" s="26">
        <v>2026</v>
      </c>
      <c r="G23" s="26" t="s">
        <v>89</v>
      </c>
      <c r="H23" s="27" t="s">
        <v>174</v>
      </c>
      <c r="I23" s="24" t="s">
        <v>112</v>
      </c>
      <c r="J23" s="24" t="s">
        <v>112</v>
      </c>
      <c r="K23" s="24" t="s">
        <v>92</v>
      </c>
      <c r="L23" s="24" t="s">
        <v>93</v>
      </c>
      <c r="M23" s="24" t="s">
        <v>103</v>
      </c>
      <c r="N23" s="28" t="s">
        <v>173</v>
      </c>
      <c r="O23" s="29"/>
      <c r="P23" s="29"/>
      <c r="Q23" s="29"/>
      <c r="R23" s="29"/>
      <c r="S23" s="30" t="str">
        <f t="shared" ref="S23:U23" si="22">IF(V23&gt;0,"Có","Không")</f>
        <v>Không</v>
      </c>
      <c r="T23" s="30" t="str">
        <f t="shared" si="22"/>
        <v>Không</v>
      </c>
      <c r="U23" s="30" t="str">
        <f t="shared" si="22"/>
        <v>Không</v>
      </c>
      <c r="V23" s="32"/>
      <c r="W23" s="32"/>
      <c r="X23" s="32"/>
      <c r="Y23" s="32"/>
      <c r="Z23" s="30" t="str">
        <f t="shared" si="1"/>
        <v>Không thực hiện</v>
      </c>
      <c r="AA23" s="35"/>
      <c r="AB23" s="39"/>
      <c r="AC23" s="23"/>
    </row>
    <row r="24" spans="1:29" ht="30" customHeight="1" x14ac:dyDescent="0.2">
      <c r="A24" s="38">
        <v>23</v>
      </c>
      <c r="B24" s="24" t="s">
        <v>88</v>
      </c>
      <c r="C24" s="25"/>
      <c r="D24" s="25">
        <v>6</v>
      </c>
      <c r="E24" s="25">
        <v>6</v>
      </c>
      <c r="F24" s="26">
        <v>2026</v>
      </c>
      <c r="G24" s="26" t="s">
        <v>89</v>
      </c>
      <c r="H24" s="27" t="s">
        <v>175</v>
      </c>
      <c r="I24" s="24" t="s">
        <v>103</v>
      </c>
      <c r="J24" s="24" t="s">
        <v>103</v>
      </c>
      <c r="K24" s="24" t="s">
        <v>92</v>
      </c>
      <c r="L24" s="24" t="s">
        <v>93</v>
      </c>
      <c r="M24" s="24" t="s">
        <v>103</v>
      </c>
      <c r="N24" s="28" t="s">
        <v>173</v>
      </c>
      <c r="O24" s="29"/>
      <c r="P24" s="29"/>
      <c r="Q24" s="29"/>
      <c r="R24" s="29"/>
      <c r="S24" s="30" t="str">
        <f t="shared" ref="S24:U24" si="23">IF(V24&gt;0,"Có","Không")</f>
        <v>Không</v>
      </c>
      <c r="T24" s="30" t="str">
        <f t="shared" si="23"/>
        <v>Không</v>
      </c>
      <c r="U24" s="30" t="str">
        <f t="shared" si="23"/>
        <v>Không</v>
      </c>
      <c r="V24" s="32"/>
      <c r="W24" s="32"/>
      <c r="X24" s="32"/>
      <c r="Y24" s="32"/>
      <c r="Z24" s="30" t="str">
        <f t="shared" si="1"/>
        <v>Không thực hiện</v>
      </c>
      <c r="AA24" s="35"/>
      <c r="AB24" s="39"/>
      <c r="AC24" s="23"/>
    </row>
    <row r="25" spans="1:29" ht="33.75" customHeight="1" x14ac:dyDescent="0.2">
      <c r="A25" s="38">
        <v>24</v>
      </c>
      <c r="B25" s="24" t="s">
        <v>88</v>
      </c>
      <c r="C25" s="25"/>
      <c r="D25" s="25">
        <v>13</v>
      </c>
      <c r="E25" s="25">
        <v>6</v>
      </c>
      <c r="F25" s="26">
        <v>2026</v>
      </c>
      <c r="G25" s="26" t="s">
        <v>89</v>
      </c>
      <c r="H25" s="27" t="s">
        <v>176</v>
      </c>
      <c r="I25" s="24" t="s">
        <v>112</v>
      </c>
      <c r="J25" s="24" t="s">
        <v>112</v>
      </c>
      <c r="K25" s="24" t="s">
        <v>92</v>
      </c>
      <c r="L25" s="24" t="s">
        <v>93</v>
      </c>
      <c r="M25" s="24" t="s">
        <v>103</v>
      </c>
      <c r="N25" s="28" t="s">
        <v>173</v>
      </c>
      <c r="O25" s="29"/>
      <c r="P25" s="29"/>
      <c r="Q25" s="29"/>
      <c r="R25" s="29"/>
      <c r="S25" s="30" t="str">
        <f t="shared" ref="S25:U25" si="24">IF(V25&gt;0,"Có","Không")</f>
        <v>Không</v>
      </c>
      <c r="T25" s="30" t="str">
        <f t="shared" si="24"/>
        <v>Không</v>
      </c>
      <c r="U25" s="30" t="str">
        <f t="shared" si="24"/>
        <v>Không</v>
      </c>
      <c r="V25" s="32"/>
      <c r="W25" s="32"/>
      <c r="X25" s="32"/>
      <c r="Y25" s="32"/>
      <c r="Z25" s="30" t="str">
        <f t="shared" si="1"/>
        <v>Không thực hiện</v>
      </c>
      <c r="AA25" s="35"/>
      <c r="AB25" s="39"/>
      <c r="AC25" s="23"/>
    </row>
    <row r="26" spans="1:29" ht="36.75" customHeight="1" x14ac:dyDescent="0.2">
      <c r="A26" s="38">
        <v>25</v>
      </c>
      <c r="B26" s="24" t="s">
        <v>88</v>
      </c>
      <c r="C26" s="25"/>
      <c r="D26" s="25">
        <v>20</v>
      </c>
      <c r="E26" s="25">
        <v>6</v>
      </c>
      <c r="F26" s="26">
        <v>2026</v>
      </c>
      <c r="G26" s="26" t="s">
        <v>89</v>
      </c>
      <c r="H26" s="27" t="s">
        <v>177</v>
      </c>
      <c r="I26" s="24" t="s">
        <v>108</v>
      </c>
      <c r="J26" s="24" t="s">
        <v>108</v>
      </c>
      <c r="K26" s="24" t="s">
        <v>92</v>
      </c>
      <c r="L26" s="24" t="s">
        <v>93</v>
      </c>
      <c r="M26" s="24" t="s">
        <v>103</v>
      </c>
      <c r="N26" s="28" t="s">
        <v>173</v>
      </c>
      <c r="O26" s="29"/>
      <c r="P26" s="29"/>
      <c r="Q26" s="29"/>
      <c r="R26" s="29"/>
      <c r="S26" s="30" t="str">
        <f t="shared" ref="S26:U26" si="25">IF(V26&gt;0,"Có","Không")</f>
        <v>Không</v>
      </c>
      <c r="T26" s="30" t="str">
        <f t="shared" si="25"/>
        <v>Không</v>
      </c>
      <c r="U26" s="30" t="str">
        <f t="shared" si="25"/>
        <v>Không</v>
      </c>
      <c r="V26" s="32"/>
      <c r="W26" s="32"/>
      <c r="X26" s="32"/>
      <c r="Y26" s="32"/>
      <c r="Z26" s="30" t="str">
        <f t="shared" si="1"/>
        <v>Không thực hiện</v>
      </c>
      <c r="AA26" s="35"/>
      <c r="AB26" s="39"/>
      <c r="AC26" s="23"/>
    </row>
    <row r="27" spans="1:29" ht="44.25" customHeight="1" x14ac:dyDescent="0.2">
      <c r="A27" s="38">
        <v>26</v>
      </c>
      <c r="B27" s="24" t="s">
        <v>88</v>
      </c>
      <c r="C27" s="25"/>
      <c r="D27" s="25">
        <v>27</v>
      </c>
      <c r="E27" s="25">
        <v>6</v>
      </c>
      <c r="F27" s="26">
        <v>2026</v>
      </c>
      <c r="G27" s="26" t="s">
        <v>89</v>
      </c>
      <c r="H27" s="27" t="s">
        <v>178</v>
      </c>
      <c r="I27" s="24" t="s">
        <v>120</v>
      </c>
      <c r="J27" s="24" t="s">
        <v>120</v>
      </c>
      <c r="K27" s="24" t="s">
        <v>92</v>
      </c>
      <c r="L27" s="24" t="s">
        <v>93</v>
      </c>
      <c r="M27" s="24" t="s">
        <v>103</v>
      </c>
      <c r="N27" s="28" t="s">
        <v>173</v>
      </c>
      <c r="O27" s="29"/>
      <c r="P27" s="29"/>
      <c r="Q27" s="29"/>
      <c r="R27" s="29"/>
      <c r="S27" s="30" t="str">
        <f t="shared" ref="S27:U27" si="26">IF(V27&gt;0,"Có","Không")</f>
        <v>Không</v>
      </c>
      <c r="T27" s="30" t="str">
        <f t="shared" si="26"/>
        <v>Không</v>
      </c>
      <c r="U27" s="30" t="str">
        <f t="shared" si="26"/>
        <v>Không</v>
      </c>
      <c r="V27" s="32"/>
      <c r="W27" s="32"/>
      <c r="X27" s="32"/>
      <c r="Y27" s="32"/>
      <c r="Z27" s="30" t="str">
        <f t="shared" si="1"/>
        <v>Không thực hiện</v>
      </c>
      <c r="AA27" s="35"/>
      <c r="AB27" s="39"/>
      <c r="AC27" s="23"/>
    </row>
    <row r="28" spans="1:29" ht="40.5" customHeight="1" x14ac:dyDescent="0.2">
      <c r="A28" s="38">
        <v>27</v>
      </c>
      <c r="B28" s="24" t="s">
        <v>88</v>
      </c>
      <c r="C28" s="26"/>
      <c r="D28" s="26">
        <v>4</v>
      </c>
      <c r="E28" s="26">
        <v>7</v>
      </c>
      <c r="F28" s="26">
        <v>2026</v>
      </c>
      <c r="G28" s="26" t="s">
        <v>89</v>
      </c>
      <c r="H28" s="37" t="s">
        <v>179</v>
      </c>
      <c r="I28" s="26"/>
      <c r="J28" s="26"/>
      <c r="K28" s="24" t="s">
        <v>92</v>
      </c>
      <c r="L28" s="24" t="s">
        <v>93</v>
      </c>
      <c r="M28" s="24" t="s">
        <v>103</v>
      </c>
      <c r="N28" s="28" t="s">
        <v>173</v>
      </c>
      <c r="O28" s="29"/>
      <c r="P28" s="29"/>
      <c r="Q28" s="29"/>
      <c r="R28" s="29"/>
      <c r="S28" s="30" t="str">
        <f t="shared" ref="S28:U28" si="27">IF(V28&gt;0,"Có","Không")</f>
        <v>Không</v>
      </c>
      <c r="T28" s="30" t="str">
        <f t="shared" si="27"/>
        <v>Không</v>
      </c>
      <c r="U28" s="30" t="str">
        <f t="shared" si="27"/>
        <v>Không</v>
      </c>
      <c r="V28" s="24"/>
      <c r="W28" s="24"/>
      <c r="X28" s="24"/>
      <c r="Y28" s="24"/>
      <c r="Z28" s="30" t="str">
        <f t="shared" si="1"/>
        <v>Không thực hiện</v>
      </c>
      <c r="AA28" s="35"/>
      <c r="AB28" s="39"/>
      <c r="AC28" s="23"/>
    </row>
    <row r="29" spans="1:29" ht="42.75" customHeight="1" x14ac:dyDescent="0.2">
      <c r="A29" s="38">
        <v>28</v>
      </c>
      <c r="B29" s="24" t="s">
        <v>88</v>
      </c>
      <c r="C29" s="26"/>
      <c r="D29" s="26">
        <v>11</v>
      </c>
      <c r="E29" s="26">
        <v>7</v>
      </c>
      <c r="F29" s="26">
        <v>2026</v>
      </c>
      <c r="G29" s="26" t="s">
        <v>89</v>
      </c>
      <c r="H29" s="37" t="s">
        <v>180</v>
      </c>
      <c r="I29" s="26"/>
      <c r="J29" s="26"/>
      <c r="K29" s="24" t="s">
        <v>92</v>
      </c>
      <c r="L29" s="24" t="s">
        <v>93</v>
      </c>
      <c r="M29" s="24" t="s">
        <v>103</v>
      </c>
      <c r="N29" s="28" t="s">
        <v>173</v>
      </c>
      <c r="O29" s="29"/>
      <c r="P29" s="29"/>
      <c r="Q29" s="29"/>
      <c r="R29" s="29"/>
      <c r="S29" s="30" t="str">
        <f t="shared" ref="S29:U29" si="28">IF(V29&gt;0,"Có","Không")</f>
        <v>Không</v>
      </c>
      <c r="T29" s="30" t="str">
        <f t="shared" si="28"/>
        <v>Không</v>
      </c>
      <c r="U29" s="30" t="str">
        <f t="shared" si="28"/>
        <v>Không</v>
      </c>
      <c r="V29" s="24"/>
      <c r="W29" s="24"/>
      <c r="X29" s="24"/>
      <c r="Y29" s="24"/>
      <c r="Z29" s="30" t="str">
        <f t="shared" si="1"/>
        <v>Không thực hiện</v>
      </c>
      <c r="AA29" s="35"/>
      <c r="AB29" s="39"/>
      <c r="AC29" s="23"/>
    </row>
    <row r="30" spans="1:29" ht="43.5" customHeight="1" x14ac:dyDescent="0.2">
      <c r="A30" s="38">
        <v>29</v>
      </c>
      <c r="B30" s="24" t="s">
        <v>88</v>
      </c>
      <c r="C30" s="26"/>
      <c r="D30" s="26">
        <v>18</v>
      </c>
      <c r="E30" s="26">
        <v>7</v>
      </c>
      <c r="F30" s="26">
        <v>2026</v>
      </c>
      <c r="G30" s="26" t="s">
        <v>89</v>
      </c>
      <c r="H30" s="37" t="s">
        <v>181</v>
      </c>
      <c r="I30" s="26"/>
      <c r="J30" s="26"/>
      <c r="K30" s="24" t="s">
        <v>92</v>
      </c>
      <c r="L30" s="24" t="s">
        <v>93</v>
      </c>
      <c r="M30" s="24" t="s">
        <v>103</v>
      </c>
      <c r="N30" s="28" t="s">
        <v>173</v>
      </c>
      <c r="O30" s="29"/>
      <c r="P30" s="29"/>
      <c r="Q30" s="29"/>
      <c r="R30" s="29"/>
      <c r="S30" s="30" t="str">
        <f t="shared" ref="S30:U30" si="29">IF(V30&gt;0,"Có","Không")</f>
        <v>Không</v>
      </c>
      <c r="T30" s="30" t="str">
        <f t="shared" si="29"/>
        <v>Không</v>
      </c>
      <c r="U30" s="30" t="str">
        <f t="shared" si="29"/>
        <v>Không</v>
      </c>
      <c r="V30" s="24"/>
      <c r="W30" s="24"/>
      <c r="X30" s="24"/>
      <c r="Y30" s="24"/>
      <c r="Z30" s="30" t="str">
        <f t="shared" si="1"/>
        <v>Không thực hiện</v>
      </c>
      <c r="AA30" s="35"/>
      <c r="AB30" s="39"/>
      <c r="AC30" s="23"/>
    </row>
    <row r="31" spans="1:29" ht="56.25" customHeight="1" x14ac:dyDescent="0.2">
      <c r="A31" s="38">
        <v>30</v>
      </c>
      <c r="B31" s="24" t="s">
        <v>88</v>
      </c>
      <c r="C31" s="26"/>
      <c r="D31" s="26">
        <v>25</v>
      </c>
      <c r="E31" s="26">
        <v>7</v>
      </c>
      <c r="F31" s="26">
        <v>2026</v>
      </c>
      <c r="G31" s="26" t="s">
        <v>89</v>
      </c>
      <c r="H31" s="37" t="s">
        <v>119</v>
      </c>
      <c r="I31" s="26"/>
      <c r="J31" s="26"/>
      <c r="K31" s="24" t="s">
        <v>92</v>
      </c>
      <c r="L31" s="24" t="s">
        <v>93</v>
      </c>
      <c r="M31" s="24" t="s">
        <v>103</v>
      </c>
      <c r="N31" s="28" t="s">
        <v>173</v>
      </c>
      <c r="O31" s="29"/>
      <c r="P31" s="29"/>
      <c r="Q31" s="29"/>
      <c r="R31" s="29"/>
      <c r="S31" s="30" t="str">
        <f t="shared" ref="S31:U31" si="30">IF(V31&gt;0,"Có","Không")</f>
        <v>Không</v>
      </c>
      <c r="T31" s="30" t="str">
        <f t="shared" si="30"/>
        <v>Không</v>
      </c>
      <c r="U31" s="30" t="str">
        <f t="shared" si="30"/>
        <v>Không</v>
      </c>
      <c r="V31" s="24"/>
      <c r="W31" s="24"/>
      <c r="X31" s="24"/>
      <c r="Y31" s="24"/>
      <c r="Z31" s="30" t="str">
        <f t="shared" si="1"/>
        <v>Không thực hiện</v>
      </c>
      <c r="AA31" s="35"/>
      <c r="AB31" s="39"/>
      <c r="AC31" s="23"/>
    </row>
    <row r="32" spans="1:29" ht="34" x14ac:dyDescent="0.2">
      <c r="A32" s="38">
        <v>31</v>
      </c>
      <c r="B32" s="24" t="s">
        <v>88</v>
      </c>
      <c r="C32" s="26"/>
      <c r="D32" s="26">
        <v>1</v>
      </c>
      <c r="E32" s="26">
        <v>8</v>
      </c>
      <c r="F32" s="26">
        <v>2026</v>
      </c>
      <c r="G32" s="26" t="s">
        <v>89</v>
      </c>
      <c r="H32" s="37" t="s">
        <v>182</v>
      </c>
      <c r="I32" s="26"/>
      <c r="J32" s="26"/>
      <c r="K32" s="24" t="s">
        <v>92</v>
      </c>
      <c r="L32" s="24" t="s">
        <v>93</v>
      </c>
      <c r="M32" s="24" t="s">
        <v>103</v>
      </c>
      <c r="N32" s="28" t="s">
        <v>173</v>
      </c>
      <c r="O32" s="29"/>
      <c r="P32" s="29"/>
      <c r="Q32" s="29"/>
      <c r="R32" s="29"/>
      <c r="S32" s="30" t="str">
        <f t="shared" ref="S32:U32" si="31">IF(V32&gt;0,"Có","Không")</f>
        <v>Không</v>
      </c>
      <c r="T32" s="30" t="str">
        <f t="shared" si="31"/>
        <v>Không</v>
      </c>
      <c r="U32" s="30" t="str">
        <f t="shared" si="31"/>
        <v>Không</v>
      </c>
      <c r="V32" s="24"/>
      <c r="W32" s="24"/>
      <c r="X32" s="24"/>
      <c r="Y32" s="24"/>
      <c r="Z32" s="30" t="str">
        <f t="shared" si="1"/>
        <v>Không thực hiện</v>
      </c>
      <c r="AA32" s="35"/>
      <c r="AB32" s="39"/>
      <c r="AC32" s="23"/>
    </row>
    <row r="33" spans="1:29" ht="34" x14ac:dyDescent="0.2">
      <c r="A33" s="38">
        <v>32</v>
      </c>
      <c r="B33" s="24" t="s">
        <v>88</v>
      </c>
      <c r="C33" s="26"/>
      <c r="D33" s="26">
        <v>8</v>
      </c>
      <c r="E33" s="26">
        <v>8</v>
      </c>
      <c r="F33" s="26">
        <v>2026</v>
      </c>
      <c r="G33" s="26" t="s">
        <v>89</v>
      </c>
      <c r="H33" s="37" t="s">
        <v>183</v>
      </c>
      <c r="I33" s="26"/>
      <c r="J33" s="26"/>
      <c r="K33" s="24" t="s">
        <v>92</v>
      </c>
      <c r="L33" s="24" t="s">
        <v>93</v>
      </c>
      <c r="M33" s="24" t="s">
        <v>103</v>
      </c>
      <c r="N33" s="28" t="s">
        <v>173</v>
      </c>
      <c r="O33" s="29"/>
      <c r="P33" s="29"/>
      <c r="Q33" s="29"/>
      <c r="R33" s="29"/>
      <c r="S33" s="30" t="str">
        <f t="shared" ref="S33:U33" si="32">IF(V33&gt;0,"Có","Không")</f>
        <v>Không</v>
      </c>
      <c r="T33" s="30" t="str">
        <f t="shared" si="32"/>
        <v>Không</v>
      </c>
      <c r="U33" s="30" t="str">
        <f t="shared" si="32"/>
        <v>Không</v>
      </c>
      <c r="V33" s="24"/>
      <c r="W33" s="24"/>
      <c r="X33" s="24"/>
      <c r="Y33" s="24"/>
      <c r="Z33" s="30" t="str">
        <f t="shared" si="1"/>
        <v>Không thực hiện</v>
      </c>
      <c r="AA33" s="35"/>
      <c r="AB33" s="39"/>
      <c r="AC33" s="23"/>
    </row>
    <row r="34" spans="1:29" ht="34" x14ac:dyDescent="0.2">
      <c r="A34" s="38">
        <v>33</v>
      </c>
      <c r="B34" s="24" t="s">
        <v>88</v>
      </c>
      <c r="C34" s="26"/>
      <c r="D34" s="26">
        <v>15</v>
      </c>
      <c r="E34" s="26">
        <v>8</v>
      </c>
      <c r="F34" s="26">
        <v>2026</v>
      </c>
      <c r="G34" s="26" t="s">
        <v>89</v>
      </c>
      <c r="H34" s="37" t="s">
        <v>184</v>
      </c>
      <c r="I34" s="26"/>
      <c r="J34" s="26"/>
      <c r="K34" s="24" t="s">
        <v>92</v>
      </c>
      <c r="L34" s="24" t="s">
        <v>93</v>
      </c>
      <c r="M34" s="24" t="s">
        <v>103</v>
      </c>
      <c r="N34" s="28" t="s">
        <v>173</v>
      </c>
      <c r="O34" s="29"/>
      <c r="P34" s="29"/>
      <c r="Q34" s="29"/>
      <c r="R34" s="29"/>
      <c r="S34" s="30" t="str">
        <f t="shared" ref="S34:U34" si="33">IF(V34&gt;0,"Có","Không")</f>
        <v>Không</v>
      </c>
      <c r="T34" s="30" t="str">
        <f t="shared" si="33"/>
        <v>Không</v>
      </c>
      <c r="U34" s="30" t="str">
        <f t="shared" si="33"/>
        <v>Không</v>
      </c>
      <c r="V34" s="24"/>
      <c r="W34" s="24"/>
      <c r="X34" s="24"/>
      <c r="Y34" s="24"/>
      <c r="Z34" s="30" t="str">
        <f t="shared" si="1"/>
        <v>Không thực hiện</v>
      </c>
      <c r="AA34" s="35"/>
      <c r="AB34" s="39"/>
      <c r="AC34" s="23"/>
    </row>
    <row r="35" spans="1:29" ht="34" x14ac:dyDescent="0.2">
      <c r="A35" s="38">
        <v>34</v>
      </c>
      <c r="B35" s="24" t="s">
        <v>88</v>
      </c>
      <c r="C35" s="26"/>
      <c r="D35" s="26">
        <v>22</v>
      </c>
      <c r="E35" s="26">
        <v>8</v>
      </c>
      <c r="F35" s="26">
        <v>2026</v>
      </c>
      <c r="G35" s="26" t="s">
        <v>89</v>
      </c>
      <c r="H35" s="37" t="s">
        <v>185</v>
      </c>
      <c r="I35" s="26"/>
      <c r="J35" s="26"/>
      <c r="K35" s="24" t="s">
        <v>92</v>
      </c>
      <c r="L35" s="24" t="s">
        <v>93</v>
      </c>
      <c r="M35" s="24" t="s">
        <v>103</v>
      </c>
      <c r="N35" s="28" t="s">
        <v>173</v>
      </c>
      <c r="O35" s="29"/>
      <c r="P35" s="29"/>
      <c r="Q35" s="29"/>
      <c r="R35" s="29"/>
      <c r="S35" s="30" t="str">
        <f t="shared" ref="S35:U35" si="34">IF(V35&gt;0,"Có","Không")</f>
        <v>Không</v>
      </c>
      <c r="T35" s="30" t="str">
        <f t="shared" si="34"/>
        <v>Không</v>
      </c>
      <c r="U35" s="30" t="str">
        <f t="shared" si="34"/>
        <v>Không</v>
      </c>
      <c r="V35" s="24"/>
      <c r="W35" s="24"/>
      <c r="X35" s="24"/>
      <c r="Y35" s="24"/>
      <c r="Z35" s="30" t="str">
        <f t="shared" si="1"/>
        <v>Không thực hiện</v>
      </c>
      <c r="AA35" s="35"/>
      <c r="AB35" s="39"/>
      <c r="AC35" s="23"/>
    </row>
    <row r="36" spans="1:29" ht="34" x14ac:dyDescent="0.2">
      <c r="A36" s="38">
        <v>35</v>
      </c>
      <c r="B36" s="24" t="s">
        <v>88</v>
      </c>
      <c r="C36" s="26"/>
      <c r="D36" s="26">
        <v>29</v>
      </c>
      <c r="E36" s="26">
        <v>8</v>
      </c>
      <c r="F36" s="26">
        <v>2026</v>
      </c>
      <c r="G36" s="26" t="s">
        <v>89</v>
      </c>
      <c r="H36" s="37" t="s">
        <v>186</v>
      </c>
      <c r="I36" s="26"/>
      <c r="J36" s="26"/>
      <c r="K36" s="24" t="s">
        <v>92</v>
      </c>
      <c r="L36" s="24" t="s">
        <v>93</v>
      </c>
      <c r="M36" s="24" t="s">
        <v>103</v>
      </c>
      <c r="N36" s="28" t="s">
        <v>173</v>
      </c>
      <c r="O36" s="29"/>
      <c r="P36" s="29"/>
      <c r="Q36" s="29"/>
      <c r="R36" s="29"/>
      <c r="S36" s="30" t="str">
        <f t="shared" ref="S36:U36" si="35">IF(V36&gt;0,"Có","Không")</f>
        <v>Không</v>
      </c>
      <c r="T36" s="30" t="str">
        <f t="shared" si="35"/>
        <v>Không</v>
      </c>
      <c r="U36" s="30" t="str">
        <f t="shared" si="35"/>
        <v>Không</v>
      </c>
      <c r="V36" s="24"/>
      <c r="W36" s="24"/>
      <c r="X36" s="24"/>
      <c r="Y36" s="24"/>
      <c r="Z36" s="30" t="str">
        <f t="shared" si="1"/>
        <v>Không thực hiện</v>
      </c>
      <c r="AA36" s="35"/>
      <c r="AB36" s="39"/>
      <c r="AC36" s="23"/>
    </row>
    <row r="37" spans="1:29" ht="34" x14ac:dyDescent="0.2">
      <c r="A37" s="38">
        <v>36</v>
      </c>
      <c r="B37" s="24" t="s">
        <v>88</v>
      </c>
      <c r="C37" s="26"/>
      <c r="D37" s="26">
        <v>5</v>
      </c>
      <c r="E37" s="26">
        <v>9</v>
      </c>
      <c r="F37" s="26">
        <v>2026</v>
      </c>
      <c r="G37" s="26" t="s">
        <v>89</v>
      </c>
      <c r="H37" s="37" t="s">
        <v>187</v>
      </c>
      <c r="I37" s="26"/>
      <c r="J37" s="26"/>
      <c r="K37" s="24" t="s">
        <v>92</v>
      </c>
      <c r="L37" s="24" t="s">
        <v>93</v>
      </c>
      <c r="M37" s="24" t="s">
        <v>103</v>
      </c>
      <c r="N37" s="28" t="s">
        <v>173</v>
      </c>
      <c r="O37" s="29"/>
      <c r="P37" s="29"/>
      <c r="Q37" s="29"/>
      <c r="R37" s="29"/>
      <c r="S37" s="30" t="str">
        <f t="shared" ref="S37:U37" si="36">IF(V37&gt;0,"Có","Không")</f>
        <v>Không</v>
      </c>
      <c r="T37" s="30" t="str">
        <f t="shared" si="36"/>
        <v>Không</v>
      </c>
      <c r="U37" s="30" t="str">
        <f t="shared" si="36"/>
        <v>Không</v>
      </c>
      <c r="V37" s="24"/>
      <c r="W37" s="24"/>
      <c r="X37" s="24"/>
      <c r="Y37" s="24"/>
      <c r="Z37" s="30" t="str">
        <f t="shared" si="1"/>
        <v>Không thực hiện</v>
      </c>
      <c r="AA37" s="35"/>
      <c r="AB37" s="39"/>
      <c r="AC37" s="23"/>
    </row>
    <row r="38" spans="1:29" ht="34" x14ac:dyDescent="0.2">
      <c r="A38" s="38">
        <v>37</v>
      </c>
      <c r="B38" s="24" t="s">
        <v>88</v>
      </c>
      <c r="C38" s="26"/>
      <c r="D38" s="26">
        <v>12</v>
      </c>
      <c r="E38" s="26">
        <v>9</v>
      </c>
      <c r="F38" s="26">
        <v>2026</v>
      </c>
      <c r="G38" s="26" t="s">
        <v>89</v>
      </c>
      <c r="H38" s="37" t="s">
        <v>188</v>
      </c>
      <c r="I38" s="26"/>
      <c r="J38" s="26"/>
      <c r="K38" s="24" t="s">
        <v>92</v>
      </c>
      <c r="L38" s="24" t="s">
        <v>93</v>
      </c>
      <c r="M38" s="24" t="s">
        <v>103</v>
      </c>
      <c r="N38" s="28" t="s">
        <v>173</v>
      </c>
      <c r="O38" s="29"/>
      <c r="P38" s="29"/>
      <c r="Q38" s="29"/>
      <c r="R38" s="29"/>
      <c r="S38" s="30" t="str">
        <f t="shared" ref="S38:U38" si="37">IF(V38&gt;0,"Có","Không")</f>
        <v>Không</v>
      </c>
      <c r="T38" s="30" t="str">
        <f t="shared" si="37"/>
        <v>Không</v>
      </c>
      <c r="U38" s="30" t="str">
        <f t="shared" si="37"/>
        <v>Không</v>
      </c>
      <c r="V38" s="24"/>
      <c r="W38" s="24"/>
      <c r="X38" s="24"/>
      <c r="Y38" s="24"/>
      <c r="Z38" s="30" t="str">
        <f t="shared" si="1"/>
        <v>Không thực hiện</v>
      </c>
      <c r="AA38" s="35"/>
      <c r="AB38" s="39"/>
      <c r="AC38" s="23"/>
    </row>
    <row r="39" spans="1:29" ht="34" x14ac:dyDescent="0.2">
      <c r="A39" s="38">
        <v>38</v>
      </c>
      <c r="B39" s="24" t="s">
        <v>88</v>
      </c>
      <c r="C39" s="26"/>
      <c r="D39" s="26">
        <v>19</v>
      </c>
      <c r="E39" s="26">
        <v>9</v>
      </c>
      <c r="F39" s="26">
        <v>2026</v>
      </c>
      <c r="G39" s="26" t="s">
        <v>89</v>
      </c>
      <c r="H39" s="37" t="s">
        <v>189</v>
      </c>
      <c r="I39" s="26"/>
      <c r="J39" s="26"/>
      <c r="K39" s="24" t="s">
        <v>92</v>
      </c>
      <c r="L39" s="24" t="s">
        <v>93</v>
      </c>
      <c r="M39" s="24" t="s">
        <v>103</v>
      </c>
      <c r="N39" s="28" t="s">
        <v>173</v>
      </c>
      <c r="O39" s="29"/>
      <c r="P39" s="29"/>
      <c r="Q39" s="29"/>
      <c r="R39" s="29"/>
      <c r="S39" s="30" t="str">
        <f t="shared" ref="S39:U39" si="38">IF(V39&gt;0,"Có","Không")</f>
        <v>Không</v>
      </c>
      <c r="T39" s="30" t="str">
        <f t="shared" si="38"/>
        <v>Không</v>
      </c>
      <c r="U39" s="30" t="str">
        <f t="shared" si="38"/>
        <v>Không</v>
      </c>
      <c r="V39" s="24"/>
      <c r="W39" s="24"/>
      <c r="X39" s="24"/>
      <c r="Y39" s="24"/>
      <c r="Z39" s="30" t="str">
        <f t="shared" si="1"/>
        <v>Không thực hiện</v>
      </c>
      <c r="AA39" s="35"/>
      <c r="AB39" s="39"/>
      <c r="AC39" s="23"/>
    </row>
    <row r="40" spans="1:29" ht="34" x14ac:dyDescent="0.2">
      <c r="A40" s="38">
        <v>39</v>
      </c>
      <c r="B40" s="24" t="s">
        <v>88</v>
      </c>
      <c r="C40" s="26"/>
      <c r="D40" s="26">
        <v>26</v>
      </c>
      <c r="E40" s="26">
        <v>9</v>
      </c>
      <c r="F40" s="26">
        <v>2026</v>
      </c>
      <c r="G40" s="26" t="s">
        <v>89</v>
      </c>
      <c r="H40" s="37" t="s">
        <v>190</v>
      </c>
      <c r="I40" s="26"/>
      <c r="J40" s="26"/>
      <c r="K40" s="24" t="s">
        <v>92</v>
      </c>
      <c r="L40" s="24" t="s">
        <v>93</v>
      </c>
      <c r="M40" s="24" t="s">
        <v>103</v>
      </c>
      <c r="N40" s="28" t="s">
        <v>173</v>
      </c>
      <c r="O40" s="29"/>
      <c r="P40" s="29"/>
      <c r="Q40" s="29"/>
      <c r="R40" s="29"/>
      <c r="S40" s="30" t="str">
        <f t="shared" ref="S40:U40" si="39">IF(V40&gt;0,"Có","Không")</f>
        <v>Không</v>
      </c>
      <c r="T40" s="30" t="str">
        <f t="shared" si="39"/>
        <v>Không</v>
      </c>
      <c r="U40" s="30" t="str">
        <f t="shared" si="39"/>
        <v>Không</v>
      </c>
      <c r="V40" s="24"/>
      <c r="W40" s="24"/>
      <c r="X40" s="24"/>
      <c r="Y40" s="24"/>
      <c r="Z40" s="30" t="str">
        <f t="shared" si="1"/>
        <v>Không thực hiện</v>
      </c>
      <c r="AA40" s="35"/>
      <c r="AB40" s="39"/>
      <c r="AC40" s="23"/>
    </row>
    <row r="41" spans="1:29" ht="34" x14ac:dyDescent="0.2">
      <c r="A41" s="38">
        <v>40</v>
      </c>
      <c r="B41" s="24" t="s">
        <v>88</v>
      </c>
      <c r="C41" s="26"/>
      <c r="D41" s="26">
        <v>3</v>
      </c>
      <c r="E41" s="26">
        <v>10</v>
      </c>
      <c r="F41" s="26">
        <v>2026</v>
      </c>
      <c r="G41" s="26" t="s">
        <v>89</v>
      </c>
      <c r="H41" s="37" t="s">
        <v>191</v>
      </c>
      <c r="I41" s="26"/>
      <c r="J41" s="26"/>
      <c r="K41" s="24" t="s">
        <v>92</v>
      </c>
      <c r="L41" s="24" t="s">
        <v>93</v>
      </c>
      <c r="M41" s="24" t="s">
        <v>103</v>
      </c>
      <c r="N41" s="28" t="s">
        <v>173</v>
      </c>
      <c r="O41" s="29"/>
      <c r="P41" s="29"/>
      <c r="Q41" s="29"/>
      <c r="R41" s="29"/>
      <c r="S41" s="30" t="str">
        <f t="shared" ref="S41:U41" si="40">IF(V41&gt;0,"Có","Không")</f>
        <v>Không</v>
      </c>
      <c r="T41" s="30" t="str">
        <f t="shared" si="40"/>
        <v>Không</v>
      </c>
      <c r="U41" s="30" t="str">
        <f t="shared" si="40"/>
        <v>Không</v>
      </c>
      <c r="V41" s="24"/>
      <c r="W41" s="24"/>
      <c r="X41" s="24"/>
      <c r="Y41" s="24"/>
      <c r="Z41" s="30" t="str">
        <f t="shared" si="1"/>
        <v>Không thực hiện</v>
      </c>
      <c r="AA41" s="35"/>
      <c r="AB41" s="39"/>
      <c r="AC41" s="23"/>
    </row>
    <row r="42" spans="1:29" ht="34" x14ac:dyDescent="0.2">
      <c r="A42" s="38">
        <v>41</v>
      </c>
      <c r="B42" s="24" t="s">
        <v>88</v>
      </c>
      <c r="C42" s="26"/>
      <c r="D42" s="26">
        <v>10</v>
      </c>
      <c r="E42" s="26">
        <v>10</v>
      </c>
      <c r="F42" s="26">
        <v>2026</v>
      </c>
      <c r="G42" s="26" t="s">
        <v>89</v>
      </c>
      <c r="H42" s="37" t="s">
        <v>192</v>
      </c>
      <c r="I42" s="26"/>
      <c r="J42" s="26"/>
      <c r="K42" s="24" t="s">
        <v>92</v>
      </c>
      <c r="L42" s="24" t="s">
        <v>93</v>
      </c>
      <c r="M42" s="24" t="s">
        <v>103</v>
      </c>
      <c r="N42" s="28" t="s">
        <v>173</v>
      </c>
      <c r="O42" s="29"/>
      <c r="P42" s="29"/>
      <c r="Q42" s="29"/>
      <c r="R42" s="29"/>
      <c r="S42" s="30" t="str">
        <f t="shared" ref="S42:U42" si="41">IF(V42&gt;0,"Có","Không")</f>
        <v>Không</v>
      </c>
      <c r="T42" s="30" t="str">
        <f t="shared" si="41"/>
        <v>Không</v>
      </c>
      <c r="U42" s="30" t="str">
        <f t="shared" si="41"/>
        <v>Không</v>
      </c>
      <c r="V42" s="24"/>
      <c r="W42" s="24"/>
      <c r="X42" s="24"/>
      <c r="Y42" s="24"/>
      <c r="Z42" s="30" t="str">
        <f t="shared" si="1"/>
        <v>Không thực hiện</v>
      </c>
      <c r="AA42" s="35"/>
      <c r="AB42" s="39"/>
      <c r="AC42" s="23"/>
    </row>
    <row r="43" spans="1:29" ht="34" x14ac:dyDescent="0.2">
      <c r="A43" s="38">
        <v>42</v>
      </c>
      <c r="B43" s="24" t="s">
        <v>88</v>
      </c>
      <c r="C43" s="26"/>
      <c r="D43" s="26">
        <v>17</v>
      </c>
      <c r="E43" s="26">
        <v>10</v>
      </c>
      <c r="F43" s="26">
        <v>2026</v>
      </c>
      <c r="G43" s="26" t="s">
        <v>89</v>
      </c>
      <c r="H43" s="37" t="s">
        <v>193</v>
      </c>
      <c r="I43" s="26"/>
      <c r="J43" s="26"/>
      <c r="K43" s="24" t="s">
        <v>92</v>
      </c>
      <c r="L43" s="24" t="s">
        <v>93</v>
      </c>
      <c r="M43" s="24" t="s">
        <v>103</v>
      </c>
      <c r="N43" s="28" t="s">
        <v>173</v>
      </c>
      <c r="O43" s="29"/>
      <c r="P43" s="29"/>
      <c r="Q43" s="29"/>
      <c r="R43" s="29"/>
      <c r="S43" s="30" t="str">
        <f t="shared" ref="S43:U43" si="42">IF(V43&gt;0,"Có","Không")</f>
        <v>Không</v>
      </c>
      <c r="T43" s="30" t="str">
        <f t="shared" si="42"/>
        <v>Không</v>
      </c>
      <c r="U43" s="30" t="str">
        <f t="shared" si="42"/>
        <v>Không</v>
      </c>
      <c r="V43" s="24"/>
      <c r="W43" s="24"/>
      <c r="X43" s="24"/>
      <c r="Y43" s="24"/>
      <c r="Z43" s="30" t="str">
        <f t="shared" si="1"/>
        <v>Không thực hiện</v>
      </c>
      <c r="AA43" s="35"/>
      <c r="AB43" s="39"/>
      <c r="AC43" s="23"/>
    </row>
    <row r="44" spans="1:29" ht="34" x14ac:dyDescent="0.2">
      <c r="A44" s="38">
        <v>43</v>
      </c>
      <c r="B44" s="24" t="s">
        <v>88</v>
      </c>
      <c r="C44" s="26"/>
      <c r="D44" s="26">
        <v>24</v>
      </c>
      <c r="E44" s="26">
        <v>10</v>
      </c>
      <c r="F44" s="26">
        <v>2026</v>
      </c>
      <c r="G44" s="26" t="s">
        <v>89</v>
      </c>
      <c r="H44" s="37" t="s">
        <v>194</v>
      </c>
      <c r="I44" s="26"/>
      <c r="J44" s="26"/>
      <c r="K44" s="24" t="s">
        <v>92</v>
      </c>
      <c r="L44" s="24" t="s">
        <v>93</v>
      </c>
      <c r="M44" s="24" t="s">
        <v>103</v>
      </c>
      <c r="N44" s="28" t="s">
        <v>173</v>
      </c>
      <c r="O44" s="29"/>
      <c r="P44" s="29"/>
      <c r="Q44" s="29"/>
      <c r="R44" s="29"/>
      <c r="S44" s="30" t="str">
        <f t="shared" ref="S44:U44" si="43">IF(V44&gt;0,"Có","Không")</f>
        <v>Không</v>
      </c>
      <c r="T44" s="30" t="str">
        <f t="shared" si="43"/>
        <v>Không</v>
      </c>
      <c r="U44" s="30" t="str">
        <f t="shared" si="43"/>
        <v>Không</v>
      </c>
      <c r="V44" s="24"/>
      <c r="W44" s="24"/>
      <c r="X44" s="24"/>
      <c r="Y44" s="24"/>
      <c r="Z44" s="30" t="str">
        <f t="shared" si="1"/>
        <v>Không thực hiện</v>
      </c>
      <c r="AA44" s="35"/>
      <c r="AB44" s="39"/>
      <c r="AC44" s="23"/>
    </row>
    <row r="45" spans="1:29" ht="34" x14ac:dyDescent="0.2">
      <c r="A45" s="38">
        <v>44</v>
      </c>
      <c r="B45" s="24" t="s">
        <v>88</v>
      </c>
      <c r="C45" s="26"/>
      <c r="D45" s="26">
        <v>31</v>
      </c>
      <c r="E45" s="26">
        <v>10</v>
      </c>
      <c r="F45" s="26">
        <v>2026</v>
      </c>
      <c r="G45" s="26" t="s">
        <v>89</v>
      </c>
      <c r="H45" s="37" t="s">
        <v>195</v>
      </c>
      <c r="I45" s="26"/>
      <c r="J45" s="26"/>
      <c r="K45" s="24" t="s">
        <v>92</v>
      </c>
      <c r="L45" s="24" t="s">
        <v>93</v>
      </c>
      <c r="M45" s="24" t="s">
        <v>103</v>
      </c>
      <c r="N45" s="28" t="s">
        <v>173</v>
      </c>
      <c r="O45" s="29"/>
      <c r="P45" s="29"/>
      <c r="Q45" s="29"/>
      <c r="R45" s="29"/>
      <c r="S45" s="30" t="str">
        <f t="shared" ref="S45:U45" si="44">IF(V45&gt;0,"Có","Không")</f>
        <v>Không</v>
      </c>
      <c r="T45" s="30" t="str">
        <f t="shared" si="44"/>
        <v>Không</v>
      </c>
      <c r="U45" s="30" t="str">
        <f t="shared" si="44"/>
        <v>Không</v>
      </c>
      <c r="V45" s="24"/>
      <c r="W45" s="24"/>
      <c r="X45" s="24"/>
      <c r="Y45" s="24"/>
      <c r="Z45" s="30" t="str">
        <f t="shared" si="1"/>
        <v>Không thực hiện</v>
      </c>
      <c r="AA45" s="35"/>
      <c r="AB45" s="39"/>
      <c r="AC45" s="23"/>
    </row>
    <row r="46" spans="1:29" ht="34" x14ac:dyDescent="0.2">
      <c r="A46" s="38">
        <v>45</v>
      </c>
      <c r="B46" s="24" t="s">
        <v>88</v>
      </c>
      <c r="C46" s="26"/>
      <c r="D46" s="26">
        <v>7</v>
      </c>
      <c r="E46" s="26">
        <v>11</v>
      </c>
      <c r="F46" s="26">
        <v>2026</v>
      </c>
      <c r="G46" s="26" t="s">
        <v>89</v>
      </c>
      <c r="H46" s="37" t="s">
        <v>196</v>
      </c>
      <c r="I46" s="26"/>
      <c r="J46" s="26"/>
      <c r="K46" s="24" t="s">
        <v>92</v>
      </c>
      <c r="L46" s="24" t="s">
        <v>93</v>
      </c>
      <c r="M46" s="24" t="s">
        <v>103</v>
      </c>
      <c r="N46" s="28" t="s">
        <v>173</v>
      </c>
      <c r="O46" s="29"/>
      <c r="P46" s="29"/>
      <c r="Q46" s="29"/>
      <c r="R46" s="29"/>
      <c r="S46" s="30" t="str">
        <f t="shared" ref="S46:U46" si="45">IF(V46&gt;0,"Có","Không")</f>
        <v>Không</v>
      </c>
      <c r="T46" s="30" t="str">
        <f t="shared" si="45"/>
        <v>Không</v>
      </c>
      <c r="U46" s="30" t="str">
        <f t="shared" si="45"/>
        <v>Không</v>
      </c>
      <c r="V46" s="24"/>
      <c r="W46" s="24"/>
      <c r="X46" s="24"/>
      <c r="Y46" s="24"/>
      <c r="Z46" s="30" t="str">
        <f t="shared" si="1"/>
        <v>Không thực hiện</v>
      </c>
      <c r="AA46" s="35"/>
      <c r="AB46" s="39"/>
      <c r="AC46" s="23"/>
    </row>
    <row r="47" spans="1:29" ht="34" x14ac:dyDescent="0.2">
      <c r="A47" s="38">
        <v>46</v>
      </c>
      <c r="B47" s="24" t="s">
        <v>88</v>
      </c>
      <c r="C47" s="26"/>
      <c r="D47" s="26">
        <v>14</v>
      </c>
      <c r="E47" s="26">
        <v>11</v>
      </c>
      <c r="F47" s="26">
        <v>2026</v>
      </c>
      <c r="G47" s="26" t="s">
        <v>89</v>
      </c>
      <c r="H47" s="37" t="s">
        <v>197</v>
      </c>
      <c r="I47" s="26"/>
      <c r="J47" s="26"/>
      <c r="K47" s="24" t="s">
        <v>92</v>
      </c>
      <c r="L47" s="24" t="s">
        <v>93</v>
      </c>
      <c r="M47" s="24" t="s">
        <v>103</v>
      </c>
      <c r="N47" s="28" t="s">
        <v>173</v>
      </c>
      <c r="O47" s="29"/>
      <c r="P47" s="29"/>
      <c r="Q47" s="29"/>
      <c r="R47" s="29"/>
      <c r="S47" s="30" t="str">
        <f t="shared" ref="S47:U47" si="46">IF(V47&gt;0,"Có","Không")</f>
        <v>Không</v>
      </c>
      <c r="T47" s="30" t="str">
        <f t="shared" si="46"/>
        <v>Không</v>
      </c>
      <c r="U47" s="30" t="str">
        <f t="shared" si="46"/>
        <v>Không</v>
      </c>
      <c r="V47" s="24"/>
      <c r="W47" s="24"/>
      <c r="X47" s="24"/>
      <c r="Y47" s="24"/>
      <c r="Z47" s="30" t="str">
        <f t="shared" si="1"/>
        <v>Không thực hiện</v>
      </c>
      <c r="AA47" s="35"/>
      <c r="AB47" s="39"/>
      <c r="AC47" s="23"/>
    </row>
    <row r="48" spans="1:29" ht="34" x14ac:dyDescent="0.2">
      <c r="A48" s="38">
        <v>47</v>
      </c>
      <c r="B48" s="24" t="s">
        <v>88</v>
      </c>
      <c r="C48" s="26"/>
      <c r="D48" s="26">
        <v>21</v>
      </c>
      <c r="E48" s="26">
        <v>11</v>
      </c>
      <c r="F48" s="26">
        <v>2026</v>
      </c>
      <c r="G48" s="26" t="s">
        <v>89</v>
      </c>
      <c r="H48" s="37" t="s">
        <v>198</v>
      </c>
      <c r="I48" s="26"/>
      <c r="J48" s="26"/>
      <c r="K48" s="24" t="s">
        <v>92</v>
      </c>
      <c r="L48" s="24" t="s">
        <v>93</v>
      </c>
      <c r="M48" s="24" t="s">
        <v>103</v>
      </c>
      <c r="N48" s="28" t="s">
        <v>173</v>
      </c>
      <c r="O48" s="29"/>
      <c r="P48" s="29"/>
      <c r="Q48" s="29"/>
      <c r="R48" s="29"/>
      <c r="S48" s="30" t="str">
        <f t="shared" ref="S48:U48" si="47">IF(V48&gt;0,"Có","Không")</f>
        <v>Không</v>
      </c>
      <c r="T48" s="30" t="str">
        <f t="shared" si="47"/>
        <v>Không</v>
      </c>
      <c r="U48" s="30" t="str">
        <f t="shared" si="47"/>
        <v>Không</v>
      </c>
      <c r="V48" s="24"/>
      <c r="W48" s="24"/>
      <c r="X48" s="24"/>
      <c r="Y48" s="24"/>
      <c r="Z48" s="30" t="str">
        <f t="shared" si="1"/>
        <v>Không thực hiện</v>
      </c>
      <c r="AA48" s="35"/>
      <c r="AB48" s="39"/>
      <c r="AC48" s="23"/>
    </row>
    <row r="49" spans="1:29" ht="34" x14ac:dyDescent="0.2">
      <c r="A49" s="38">
        <v>48</v>
      </c>
      <c r="B49" s="24" t="s">
        <v>88</v>
      </c>
      <c r="C49" s="26"/>
      <c r="D49" s="26">
        <v>28</v>
      </c>
      <c r="E49" s="26">
        <v>11</v>
      </c>
      <c r="F49" s="26">
        <v>2026</v>
      </c>
      <c r="G49" s="26" t="s">
        <v>89</v>
      </c>
      <c r="H49" s="37" t="s">
        <v>199</v>
      </c>
      <c r="I49" s="26"/>
      <c r="J49" s="26"/>
      <c r="K49" s="24" t="s">
        <v>92</v>
      </c>
      <c r="L49" s="24" t="s">
        <v>93</v>
      </c>
      <c r="M49" s="24" t="s">
        <v>103</v>
      </c>
      <c r="N49" s="28" t="s">
        <v>173</v>
      </c>
      <c r="O49" s="29"/>
      <c r="P49" s="29"/>
      <c r="Q49" s="29"/>
      <c r="R49" s="29"/>
      <c r="S49" s="30" t="str">
        <f t="shared" ref="S49:U49" si="48">IF(V49&gt;0,"Có","Không")</f>
        <v>Không</v>
      </c>
      <c r="T49" s="30" t="str">
        <f t="shared" si="48"/>
        <v>Không</v>
      </c>
      <c r="U49" s="30" t="str">
        <f t="shared" si="48"/>
        <v>Không</v>
      </c>
      <c r="V49" s="24"/>
      <c r="W49" s="24"/>
      <c r="X49" s="24"/>
      <c r="Y49" s="24"/>
      <c r="Z49" s="30" t="str">
        <f t="shared" si="1"/>
        <v>Không thực hiện</v>
      </c>
      <c r="AA49" s="35"/>
      <c r="AB49" s="39"/>
      <c r="AC49" s="23"/>
    </row>
    <row r="50" spans="1:29" ht="34" x14ac:dyDescent="0.2">
      <c r="A50" s="38">
        <v>49</v>
      </c>
      <c r="B50" s="24" t="s">
        <v>88</v>
      </c>
      <c r="C50" s="26"/>
      <c r="D50" s="26">
        <v>5</v>
      </c>
      <c r="E50" s="26">
        <v>12</v>
      </c>
      <c r="F50" s="26">
        <v>2026</v>
      </c>
      <c r="G50" s="26" t="s">
        <v>89</v>
      </c>
      <c r="H50" s="37" t="s">
        <v>200</v>
      </c>
      <c r="I50" s="26"/>
      <c r="J50" s="26"/>
      <c r="K50" s="24" t="s">
        <v>92</v>
      </c>
      <c r="L50" s="24" t="s">
        <v>93</v>
      </c>
      <c r="M50" s="24" t="s">
        <v>103</v>
      </c>
      <c r="N50" s="28" t="s">
        <v>173</v>
      </c>
      <c r="O50" s="29"/>
      <c r="P50" s="29"/>
      <c r="Q50" s="29"/>
      <c r="R50" s="29"/>
      <c r="S50" s="30" t="str">
        <f t="shared" ref="S50:U50" si="49">IF(V50&gt;0,"Có","Không")</f>
        <v>Không</v>
      </c>
      <c r="T50" s="30" t="str">
        <f t="shared" si="49"/>
        <v>Không</v>
      </c>
      <c r="U50" s="30" t="str">
        <f t="shared" si="49"/>
        <v>Không</v>
      </c>
      <c r="V50" s="24"/>
      <c r="W50" s="24"/>
      <c r="X50" s="24"/>
      <c r="Y50" s="24"/>
      <c r="Z50" s="30" t="str">
        <f t="shared" si="1"/>
        <v>Không thực hiện</v>
      </c>
      <c r="AA50" s="35"/>
      <c r="AB50" s="39"/>
      <c r="AC50" s="23"/>
    </row>
    <row r="51" spans="1:29" ht="34" x14ac:dyDescent="0.2">
      <c r="A51" s="38">
        <v>50</v>
      </c>
      <c r="B51" s="24" t="s">
        <v>88</v>
      </c>
      <c r="C51" s="26"/>
      <c r="D51" s="26">
        <v>12</v>
      </c>
      <c r="E51" s="26">
        <v>12</v>
      </c>
      <c r="F51" s="26">
        <v>2026</v>
      </c>
      <c r="G51" s="26" t="s">
        <v>89</v>
      </c>
      <c r="H51" s="37" t="s">
        <v>201</v>
      </c>
      <c r="I51" s="26"/>
      <c r="J51" s="26"/>
      <c r="K51" s="24" t="s">
        <v>92</v>
      </c>
      <c r="L51" s="24" t="s">
        <v>93</v>
      </c>
      <c r="M51" s="24" t="s">
        <v>103</v>
      </c>
      <c r="N51" s="28" t="s">
        <v>173</v>
      </c>
      <c r="O51" s="29"/>
      <c r="P51" s="29"/>
      <c r="Q51" s="29"/>
      <c r="R51" s="29"/>
      <c r="S51" s="30" t="str">
        <f t="shared" ref="S51:U51" si="50">IF(V51&gt;0,"Có","Không")</f>
        <v>Không</v>
      </c>
      <c r="T51" s="30" t="str">
        <f t="shared" si="50"/>
        <v>Không</v>
      </c>
      <c r="U51" s="30" t="str">
        <f t="shared" si="50"/>
        <v>Không</v>
      </c>
      <c r="V51" s="24"/>
      <c r="W51" s="24"/>
      <c r="X51" s="24"/>
      <c r="Y51" s="24"/>
      <c r="Z51" s="30" t="str">
        <f t="shared" si="1"/>
        <v>Không thực hiện</v>
      </c>
      <c r="AA51" s="35"/>
      <c r="AB51" s="39"/>
      <c r="AC51" s="23"/>
    </row>
    <row r="52" spans="1:29" ht="34" x14ac:dyDescent="0.2">
      <c r="A52" s="38">
        <v>51</v>
      </c>
      <c r="B52" s="24" t="s">
        <v>88</v>
      </c>
      <c r="C52" s="26"/>
      <c r="D52" s="26">
        <v>19</v>
      </c>
      <c r="E52" s="26">
        <v>12</v>
      </c>
      <c r="F52" s="26">
        <v>2026</v>
      </c>
      <c r="G52" s="26" t="s">
        <v>89</v>
      </c>
      <c r="H52" s="37" t="s">
        <v>202</v>
      </c>
      <c r="I52" s="26"/>
      <c r="J52" s="26"/>
      <c r="K52" s="24" t="s">
        <v>92</v>
      </c>
      <c r="L52" s="24" t="s">
        <v>93</v>
      </c>
      <c r="M52" s="24" t="s">
        <v>103</v>
      </c>
      <c r="N52" s="28" t="s">
        <v>173</v>
      </c>
      <c r="O52" s="29"/>
      <c r="P52" s="29"/>
      <c r="Q52" s="29"/>
      <c r="R52" s="29"/>
      <c r="S52" s="30" t="str">
        <f t="shared" ref="S52:U52" si="51">IF(V52&gt;0,"Có","Không")</f>
        <v>Không</v>
      </c>
      <c r="T52" s="30" t="str">
        <f t="shared" si="51"/>
        <v>Không</v>
      </c>
      <c r="U52" s="30" t="str">
        <f t="shared" si="51"/>
        <v>Không</v>
      </c>
      <c r="V52" s="24"/>
      <c r="W52" s="24"/>
      <c r="X52" s="24"/>
      <c r="Y52" s="24"/>
      <c r="Z52" s="30" t="str">
        <f t="shared" si="1"/>
        <v>Không thực hiện</v>
      </c>
      <c r="AA52" s="35"/>
      <c r="AB52" s="39"/>
      <c r="AC52" s="23"/>
    </row>
    <row r="53" spans="1:29" ht="34" x14ac:dyDescent="0.2">
      <c r="A53" s="46">
        <v>52</v>
      </c>
      <c r="B53" s="47" t="s">
        <v>88</v>
      </c>
      <c r="C53" s="48"/>
      <c r="D53" s="48">
        <v>26</v>
      </c>
      <c r="E53" s="48">
        <v>12</v>
      </c>
      <c r="F53" s="26">
        <v>2026</v>
      </c>
      <c r="G53" s="48" t="s">
        <v>89</v>
      </c>
      <c r="H53" s="49" t="s">
        <v>203</v>
      </c>
      <c r="I53" s="48"/>
      <c r="J53" s="48"/>
      <c r="K53" s="47" t="s">
        <v>92</v>
      </c>
      <c r="L53" s="47" t="s">
        <v>93</v>
      </c>
      <c r="M53" s="47" t="s">
        <v>103</v>
      </c>
      <c r="N53" s="50" t="s">
        <v>173</v>
      </c>
      <c r="O53" s="51"/>
      <c r="P53" s="51"/>
      <c r="Q53" s="51"/>
      <c r="R53" s="51"/>
      <c r="S53" s="52" t="str">
        <f t="shared" ref="S53:U53" si="52">IF(V53&gt;0,"Có","Không")</f>
        <v>Không</v>
      </c>
      <c r="T53" s="52" t="str">
        <f t="shared" si="52"/>
        <v>Không</v>
      </c>
      <c r="U53" s="52" t="str">
        <f t="shared" si="52"/>
        <v>Không</v>
      </c>
      <c r="V53" s="47"/>
      <c r="W53" s="47"/>
      <c r="X53" s="47"/>
      <c r="Y53" s="47"/>
      <c r="Z53" s="52" t="str">
        <f t="shared" si="1"/>
        <v>Không thực hiện</v>
      </c>
      <c r="AA53" s="53"/>
      <c r="AB53" s="54"/>
      <c r="AC53" s="23"/>
    </row>
  </sheetData>
  <conditionalFormatting sqref="V1:Y1">
    <cfRule type="notContainsBlanks" dxfId="0" priority="1">
      <formula>LEN(TRIM(V1))&gt;0</formula>
    </cfRule>
  </conditionalFormatting>
  <dataValidations count="4">
    <dataValidation type="list" allowBlank="1" sqref="B2:B53" xr:uid="{00000000-0002-0000-0100-000000000000}">
      <formula1>"Thứ Hai,Thứ Ba,Thứ Tư,Thứ Năm,Thứ Sáu,Thứ Bảy"</formula1>
    </dataValidation>
    <dataValidation type="list" allowBlank="1" sqref="L2:L53" xr:uid="{00000000-0002-0000-0100-000001000000}">
      <formula1>"Phòng Hành chính khoa,Hội trường 8A,Phòng họp 1A,Phòng họp TGĐ,Phòng họp Chủ tịch"</formula1>
    </dataValidation>
    <dataValidation type="list" allowBlank="1" showErrorMessage="1" sqref="K2:K53" xr:uid="{00000000-0002-0000-0100-000002000000}">
      <formula1>"Bác sỹ,Điều Dưỡng,Kỹ thuật Y,Bác sĩ/Kĩ thuật Y"</formula1>
    </dataValidation>
    <dataValidation type="list" allowBlank="1" showErrorMessage="1" sqref="G2:G53"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2" r:id="rId1" xr:uid="{00000000-0004-0000-0100-000000000000}"/>
    <hyperlink ref="X2" r:id="rId2" xr:uid="{00000000-0004-0000-0100-000001000000}"/>
    <hyperlink ref="X3" r:id="rId3" xr:uid="{00000000-0004-0000-0100-000002000000}"/>
    <hyperlink ref="V4" r:id="rId4" xr:uid="{00000000-0004-0000-0100-000003000000}"/>
    <hyperlink ref="X4" r:id="rId5" xr:uid="{00000000-0004-0000-0100-000004000000}"/>
    <hyperlink ref="V5" r:id="rId6" xr:uid="{00000000-0004-0000-0100-000005000000}"/>
    <hyperlink ref="X5" r:id="rId7" xr:uid="{00000000-0004-0000-0100-000006000000}"/>
    <hyperlink ref="Y5" r:id="rId8" xr:uid="{00000000-0004-0000-0100-000007000000}"/>
    <hyperlink ref="V6" r:id="rId9" xr:uid="{00000000-0004-0000-0100-000008000000}"/>
    <hyperlink ref="X6" r:id="rId10" xr:uid="{00000000-0004-0000-0100-000009000000}"/>
    <hyperlink ref="V7" r:id="rId11" xr:uid="{00000000-0004-0000-0100-00000A000000}"/>
    <hyperlink ref="X7" r:id="rId12" xr:uid="{00000000-0004-0000-0100-00000B000000}"/>
    <hyperlink ref="Y7" r:id="rId13" xr:uid="{00000000-0004-0000-0100-00000C000000}"/>
    <hyperlink ref="V8" r:id="rId14" xr:uid="{00000000-0004-0000-0100-00000D000000}"/>
    <hyperlink ref="X8" r:id="rId15" xr:uid="{00000000-0004-0000-0100-00000E000000}"/>
    <hyperlink ref="Y8" r:id="rId16" xr:uid="{00000000-0004-0000-0100-00000F000000}"/>
    <hyperlink ref="V10" r:id="rId17" xr:uid="{00000000-0004-0000-0100-000010000000}"/>
    <hyperlink ref="X10" r:id="rId18" xr:uid="{00000000-0004-0000-0100-000011000000}"/>
    <hyperlink ref="V11" r:id="rId19" xr:uid="{00000000-0004-0000-0100-000012000000}"/>
    <hyperlink ref="X11" r:id="rId20" xr:uid="{00000000-0004-0000-0100-000013000000}"/>
    <hyperlink ref="V12" r:id="rId21" xr:uid="{00000000-0004-0000-0100-000014000000}"/>
    <hyperlink ref="X12" r:id="rId22" xr:uid="{00000000-0004-0000-0100-000015000000}"/>
    <hyperlink ref="V13" r:id="rId23" xr:uid="{00000000-0004-0000-0100-000016000000}"/>
    <hyperlink ref="X13" r:id="rId24" xr:uid="{00000000-0004-0000-0100-000017000000}"/>
    <hyperlink ref="Y13" r:id="rId25" xr:uid="{00000000-0004-0000-0100-000018000000}"/>
    <hyperlink ref="V14" r:id="rId26" xr:uid="{00000000-0004-0000-0100-000019000000}"/>
    <hyperlink ref="X14" r:id="rId27" xr:uid="{00000000-0004-0000-0100-00001A000000}"/>
    <hyperlink ref="Y14" r:id="rId28" xr:uid="{00000000-0004-0000-0100-00001B000000}"/>
    <hyperlink ref="V15" r:id="rId29" xr:uid="{00000000-0004-0000-0100-00001C000000}"/>
    <hyperlink ref="X15" r:id="rId30" xr:uid="{00000000-0004-0000-0100-00001D000000}"/>
    <hyperlink ref="Y15" r:id="rId31" xr:uid="{00000000-0004-0000-0100-00001E000000}"/>
    <hyperlink ref="V16" r:id="rId32" xr:uid="{00000000-0004-0000-0100-00001F000000}"/>
    <hyperlink ref="X16" r:id="rId33" xr:uid="{00000000-0004-0000-0100-000020000000}"/>
    <hyperlink ref="V17" r:id="rId34" xr:uid="{00000000-0004-0000-0100-000021000000}"/>
    <hyperlink ref="X17" r:id="rId35" xr:uid="{00000000-0004-0000-0100-000022000000}"/>
    <hyperlink ref="V18" r:id="rId36" xr:uid="{00000000-0004-0000-0100-000023000000}"/>
    <hyperlink ref="W18" r:id="rId37" xr:uid="{00000000-0004-0000-0100-000024000000}"/>
    <hyperlink ref="X18" r:id="rId38" xr:uid="{00000000-0004-0000-0100-000025000000}"/>
    <hyperlink ref="Y18" r:id="rId39" xr:uid="{00000000-0004-0000-0100-000026000000}"/>
    <hyperlink ref="V19" r:id="rId40" xr:uid="{00000000-0004-0000-0100-000027000000}"/>
    <hyperlink ref="W19" r:id="rId41" xr:uid="{00000000-0004-0000-0100-000028000000}"/>
    <hyperlink ref="X19" r:id="rId42" xr:uid="{00000000-0004-0000-0100-000029000000}"/>
    <hyperlink ref="V20" r:id="rId43" xr:uid="{00000000-0004-0000-0100-00002A000000}"/>
    <hyperlink ref="W20" r:id="rId44" xr:uid="{00000000-0004-0000-0100-00002B000000}"/>
    <hyperlink ref="X20" r:id="rId45" xr:uid="{00000000-0004-0000-0100-00002C000000}"/>
    <hyperlink ref="Y20" r:id="rId46" xr:uid="{00000000-0004-0000-0100-00002D000000}"/>
    <hyperlink ref="V21" r:id="rId47" xr:uid="{00000000-0004-0000-0100-00002E000000}"/>
    <hyperlink ref="W21" r:id="rId48" xr:uid="{00000000-0004-0000-0100-00002F000000}"/>
    <hyperlink ref="X21" r:id="rId49" xr:uid="{00000000-0004-0000-0100-000030000000}"/>
  </hyperlinks>
  <pageMargins left="0.7" right="0.7" top="0.75" bottom="0.75" header="0" footer="0"/>
  <pageSetup orientation="landscape"/>
  <tableParts count="1">
    <tablePart r:id="rId5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2026-05-21T08:56:37Z</dcterms:modified>
</cp:coreProperties>
</file>