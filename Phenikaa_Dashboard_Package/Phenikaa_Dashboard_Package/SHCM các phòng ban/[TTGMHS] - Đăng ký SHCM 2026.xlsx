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6" documentId="11_BDDA0E989043FD916AC14EB5ADC5BD9BA4A32173" xr6:coauthVersionLast="47" xr6:coauthVersionMax="47" xr10:uidLastSave="{88AE0F2B-AD6D-C54A-972F-554E995C6063}"/>
  <bookViews>
    <workbookView xWindow="0" yWindow="660" windowWidth="22920" windowHeight="13760" activeTab="1" xr2:uid="{00000000-000D-0000-FFFF-FFFF00000000}"/>
  </bookViews>
  <sheets>
    <sheet name="Quy trình" sheetId="1" r:id="rId1"/>
    <sheet name="Kế hoạch" sheetId="2" r:id="rId2"/>
  </sheets>
  <definedNames>
    <definedName name="_xlnm._FilterDatabase" localSheetId="1" hidden="1">'Kế hoạch'!$A$1:$AB$40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0" i="2" l="1"/>
  <c r="Z40" i="2"/>
  <c r="U40" i="2"/>
  <c r="T40" i="2"/>
  <c r="S40" i="2"/>
  <c r="AA39" i="2"/>
  <c r="Z39" i="2"/>
  <c r="U39" i="2"/>
  <c r="T39" i="2"/>
  <c r="S39" i="2"/>
  <c r="AA38" i="2"/>
  <c r="Z38" i="2"/>
  <c r="U38" i="2"/>
  <c r="T38" i="2"/>
  <c r="S38" i="2"/>
  <c r="AA37" i="2"/>
  <c r="Z37" i="2"/>
  <c r="U37" i="2"/>
  <c r="T37" i="2"/>
  <c r="S37" i="2"/>
  <c r="AA36" i="2"/>
  <c r="Z36" i="2"/>
  <c r="U36" i="2"/>
  <c r="T36" i="2"/>
  <c r="S36" i="2"/>
  <c r="AA35" i="2"/>
  <c r="Z35" i="2"/>
  <c r="U35" i="2"/>
  <c r="T35" i="2"/>
  <c r="S35" i="2"/>
  <c r="AA34" i="2"/>
  <c r="Z34" i="2"/>
  <c r="U34" i="2"/>
  <c r="T34" i="2"/>
  <c r="S34" i="2"/>
  <c r="AA33" i="2"/>
  <c r="Z33" i="2"/>
  <c r="U33" i="2"/>
  <c r="T33" i="2"/>
  <c r="S33" i="2"/>
  <c r="AA32" i="2"/>
  <c r="Z32" i="2"/>
  <c r="U32" i="2"/>
  <c r="T32" i="2"/>
  <c r="S32" i="2"/>
  <c r="AA31" i="2"/>
  <c r="Z31" i="2"/>
  <c r="U31" i="2"/>
  <c r="T31" i="2"/>
  <c r="S31" i="2"/>
  <c r="AA30" i="2"/>
  <c r="Z30" i="2"/>
  <c r="U30" i="2"/>
  <c r="T30" i="2"/>
  <c r="S30" i="2"/>
  <c r="AA29" i="2"/>
  <c r="Z29" i="2"/>
  <c r="U29" i="2"/>
  <c r="T29" i="2"/>
  <c r="S29" i="2"/>
  <c r="AA28" i="2"/>
  <c r="Z28" i="2"/>
  <c r="U28" i="2"/>
  <c r="T28" i="2"/>
  <c r="S28" i="2"/>
  <c r="AA27" i="2"/>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U19" i="2"/>
  <c r="T19" i="2"/>
  <c r="S19" i="2"/>
  <c r="AA18" i="2"/>
  <c r="Z18" i="2"/>
  <c r="U18" i="2"/>
  <c r="T18" i="2"/>
  <c r="S18" i="2"/>
  <c r="AA17" i="2"/>
  <c r="Z17" i="2"/>
  <c r="U17" i="2"/>
  <c r="T17" i="2"/>
  <c r="S17" i="2"/>
  <c r="AA16" i="2"/>
  <c r="Z16" i="2"/>
  <c r="U16" i="2"/>
  <c r="T16" i="2"/>
  <c r="S16" i="2"/>
  <c r="AA15" i="2"/>
  <c r="AA14" i="2"/>
  <c r="AA13" i="2"/>
  <c r="AA12" i="2"/>
  <c r="AA11" i="2"/>
  <c r="Z11" i="2"/>
  <c r="U11" i="2"/>
  <c r="T11" i="2"/>
  <c r="S11" i="2"/>
  <c r="AA10" i="2"/>
  <c r="Z10" i="2"/>
  <c r="U10" i="2"/>
  <c r="T10" i="2"/>
  <c r="S10" i="2"/>
  <c r="AA9" i="2"/>
  <c r="Z9" i="2"/>
  <c r="U9" i="2"/>
  <c r="T9" i="2"/>
  <c r="S9" i="2"/>
  <c r="AA8" i="2"/>
  <c r="Z8" i="2"/>
  <c r="U8" i="2"/>
  <c r="T8" i="2"/>
  <c r="S8" i="2"/>
  <c r="AA7" i="2"/>
  <c r="Z7" i="2"/>
  <c r="U7" i="2"/>
  <c r="T7" i="2"/>
  <c r="S7" i="2"/>
  <c r="AA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<sst xmlns="http://schemas.openxmlformats.org/spreadsheetml/2006/main" count="484" uniqueCount="186">
  <si>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</si>
  <si>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</si>
  <si>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</si>
  <si>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</si>
  <si>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</si>
  <si>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</si>
  <si>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</si>
  <si>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</si>
  <si>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</si>
  <si>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</si>
  <si>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</si>
  <si>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</si>
  <si>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</si>
  <si>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</si>
  <si>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</si>
  <si>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</si>
  <si>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</si>
  <si>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</si>
  <si>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</si>
  <si>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</si>
  <si>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</si>
  <si>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</si>
  <si>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</si>
  <si>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</si>
  <si>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</si>
  <si>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</si>
  <si>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</si>
  <si>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</si>
  <si>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</si>
  <si>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</si>
  <si>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</si>
  <si>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</si>
  <si>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</si>
  <si>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</si>
  <si>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</si>
  <si>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</si>
  <si>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</si>
  <si>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</si>
  <si>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</si>
  <si>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</si>
  <si>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</si>
  <si>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</si>
  <si>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</si>
  <si>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</si>
  <si>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</si>
  <si>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</si>
  <si>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</si>
  <si>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</si>
  <si>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</si>
  <si>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</si>
  <si>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</si>
  <si>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</si>
  <si>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</si>
  <si>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</si>
  <si>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</si>
  <si>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</si>
  <si>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</si>
  <si>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</si>
  <si>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</si>
  <si>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</si>
  <si>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</si>
  <si>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</si>
  <si>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</si>
  <si>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</si>
  <si>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</si>
  <si>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</si>
  <si>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Năm</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</si>
  <si>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</si>
  <si>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</si>
  <si>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</si>
  <si>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</si>
  <si>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</si>
  <si>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</si>
  <si>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</si>
  <si>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</si>
  <si>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</si>
  <si>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</si>
  <si>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</si>
  <si>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</si>
  <si>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</si>
  <si>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</si>
  <si>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</si>
  <si>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</si>
  <si>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</si>
  <si>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</si>
  <si>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</si>
  <si>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</si>
  <si>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Sáu</t>
  </si>
  <si>
    <t>8:00-9:00</t>
  </si>
  <si>
    <t>Trung tâm Gây mê hồi sức</t>
  </si>
  <si>
    <t>Theo dõi người bệnh trong gây mê</t>
  </si>
  <si>
    <t xml:space="preserve">Đ.D Trần Văn Huy </t>
  </si>
  <si>
    <t>Bác sỹ, điều dưỡng</t>
  </si>
  <si>
    <t>Phòng Hành chính khoa</t>
  </si>
  <si>
    <t xml:space="preserve">BS Trần Thị Huế </t>
  </si>
  <si>
    <t>có</t>
  </si>
  <si>
    <t>TD NGƯỜI BỆNH TRONG GÂY MÊ (Câu trả lời)</t>
  </si>
  <si>
    <t>https://www.image2url.com/r2/default/presentations/1777978918670-96b583dd-dc31-450c-bd24-9ec1be8de867.pptx</t>
  </si>
  <si>
    <t>Đã hoàn thành</t>
  </si>
  <si>
    <t>Thứ Tư</t>
  </si>
  <si>
    <t>Hít sặc trong gây mê</t>
  </si>
  <si>
    <t>BSCKI Lê Trung Kiên</t>
  </si>
  <si>
    <t>Hoãn</t>
  </si>
  <si>
    <t>Thứ bảy</t>
  </si>
  <si>
    <t>An toàn phòng mổ</t>
  </si>
  <si>
    <t>Đ.D Nguyễn Hoài Nam</t>
  </si>
  <si>
    <t>Câu hỏi an toàn phòng mổ (Câu trả lời)</t>
  </si>
  <si>
    <t>bk atpm.pdf</t>
  </si>
  <si>
    <t>An toàn trong phòng mổ. Nguy cơ và giải pháp.pptx</t>
  </si>
  <si>
    <t xml:space="preserve">Chuyển từ 25/04  sang 2/5, đã hoàn thành </t>
  </si>
  <si>
    <t>Thứ năm</t>
  </si>
  <si>
    <t>Theo dõi, đánh giá người bệnh sau phẫu thuật tại PACU</t>
  </si>
  <si>
    <t>Đ.D Nguyễn Thị Loan</t>
  </si>
  <si>
    <t>260509_SHCM_GMHS_PT_Theo dõi, đánh giá người bệnh sau phẫu thuật PACU.xlsx</t>
  </si>
  <si>
    <t>260509_SHCM_GMHS_BK_Theo dõi, đánh giá người bệnh sau phẫu thuật PACU.pdf</t>
  </si>
  <si>
    <t>260509_SHCM_GMHS_BC_Theo dõi, đánh giá người bệnh sau phẫu thuật PACU.pdf</t>
  </si>
  <si>
    <t>Chuyển từ 7/5 sang 9/5, đã hoàn hoàn thành</t>
  </si>
  <si>
    <t>Theo dõi, đánh giá và xử trí ngộ độc thuốc tê</t>
  </si>
  <si>
    <t>Đ.D Nguyễn Trịnh Quốc Tuấn</t>
  </si>
  <si>
    <t>xin hoãn do báo cáo viên nghỉ chế độ (vợ đẻ), chuyển sang 21/05</t>
  </si>
  <si>
    <t>Dược động học các thuốc GMHS (tiếp)</t>
  </si>
  <si>
    <t>PGS.TS.BSCC Trần Thị Kiệm</t>
  </si>
  <si>
    <t>Dược động học của thuốc gây mê hồi sức (Câu trả lời)</t>
  </si>
  <si>
    <t>scan dược động học thuốc gmhs</t>
  </si>
  <si>
    <t>Duoc dong hoc của thuoc.ppt</t>
  </si>
  <si>
    <t>Chuyển từ 21/05 sang 15/05, đã hoàn thành</t>
  </si>
  <si>
    <t>Quản lí đau cho người bệnh sau phẫu thuật tại PACU</t>
  </si>
  <si>
    <t>Đ.D Vũ Anh Văn</t>
  </si>
  <si>
    <t xml:space="preserve">Dự phòng bí tiểu sau gây tê tủy sống bằng siêu âm bàng quang </t>
  </si>
  <si>
    <t>Đ.D Trần Văn Quang</t>
  </si>
  <si>
    <t xml:space="preserve">Tắc mạch phổi trong và sau phẫu thuật </t>
  </si>
  <si>
    <t>Ths.BSCKII Lê Thị Nguyệt</t>
  </si>
  <si>
    <t>Chuyển từ 11/06 sang 18/06</t>
  </si>
  <si>
    <t>Bảng kiểm an toàn phẫu thuật/ thủ thuật - thực hành chuẩn</t>
  </si>
  <si>
    <t>Đ.D Phạm Thị Như Quỳnh</t>
  </si>
  <si>
    <t>Chuyển từ 18/06 sang 11/06</t>
  </si>
  <si>
    <t>Tổng quan các phương pháp NCKH</t>
  </si>
  <si>
    <t>TS.BS Đỗ Văn Lợi</t>
  </si>
  <si>
    <t>Hiệu quả của sử dụng dexamethasone trong gây tê vùng</t>
  </si>
  <si>
    <t>Đ.D Nguyễn Thị Bảo Thoa</t>
  </si>
  <si>
    <t>Giảm đau cho phẫu thuật xâm lấn lớn vùng hàm mặt</t>
  </si>
  <si>
    <t>BSCKI Lưu Thúy Hiền</t>
  </si>
  <si>
    <t xml:space="preserve">Hiệu quả của Briefing và Debriefing trong gây mê phẫu thuật (làm việc nhóm hiệu quả) </t>
  </si>
  <si>
    <t>Đ.D Trần Hồng Phúc</t>
  </si>
  <si>
    <t xml:space="preserve">Ứng dụng PPV-SVV trong đánh giá đáp ứng dịch </t>
  </si>
  <si>
    <t xml:space="preserve">Ths.BS Trần Thị Tươi </t>
  </si>
  <si>
    <t>Cập nhật chỉ số shock index (SI) trong theo dõi chảy máu sau phẫu thuật</t>
  </si>
  <si>
    <t>Đ.D Lê Thu Trang</t>
  </si>
  <si>
    <t>Hiệu quả giảm đau của phương pháp gây tê cơ vuông thắt lưng</t>
  </si>
  <si>
    <t xml:space="preserve">Quản lí thân nhiệt cho người bệnh trong gây mê phẫu thuật </t>
  </si>
  <si>
    <t>Đ.D Nguyễn Thị Ngọc Ánh</t>
  </si>
  <si>
    <t>Vai trò của EtCO2 trong gây mê</t>
  </si>
  <si>
    <t xml:space="preserve">Quản lí cân bằng dịch vào-ra trong gây mê phẫu thuật </t>
  </si>
  <si>
    <t xml:space="preserve">Đ.D Nguyễn Thị Phương </t>
  </si>
  <si>
    <t>Đặt NKQ tỉnh dưới gây tê vùng</t>
  </si>
  <si>
    <t xml:space="preserve">Dược lý học thuốc gây mê tĩnh mạch </t>
  </si>
  <si>
    <t xml:space="preserve">An toàn phẫu thuật/ thủ thuật: Quản lý dụng cụ, kim gạc </t>
  </si>
  <si>
    <t>Đ.D Lê Thị Ngọc Mỹ</t>
  </si>
  <si>
    <t>Cách viết một đề tài NCKH</t>
  </si>
  <si>
    <t xml:space="preserve">TS.BS Đỗ Văn Lợi </t>
  </si>
  <si>
    <t>Kiểm soát dụng cụ của hãng mang vào</t>
  </si>
  <si>
    <t>Đ.D Mai Thị Hiên</t>
  </si>
  <si>
    <t>Cập nhật quản lý shock nhiễm khuẩn trong gây mê</t>
  </si>
  <si>
    <t xml:space="preserve">Quản lý dự phòng nhiễm khuẩn vết mổ </t>
  </si>
  <si>
    <t>Đ.D Nguyễn Thị Hiền</t>
  </si>
  <si>
    <t>Quản lý GMHS cho phẫu thuật thay khớp háng do chấn thương</t>
  </si>
  <si>
    <t>Phản ứng trong truyền máu và xử trí</t>
  </si>
  <si>
    <t>Đ.D Nghiêm Thị Hiền</t>
  </si>
  <si>
    <t>Tương tác thuốc trong GMHS</t>
  </si>
  <si>
    <t>Nhận diện sự cố và ý nghĩa và phân loại sự cố trong gây mê</t>
  </si>
  <si>
    <t>Đ.D Lê Quang Hưởng</t>
  </si>
  <si>
    <t>Co thắt phế quản trong GMHS</t>
  </si>
  <si>
    <t>Double check, cross check, 7 đúng trong gây mê phẫu thuật</t>
  </si>
  <si>
    <t xml:space="preserve">Đ.D Phùng Thùy Linh </t>
  </si>
  <si>
    <t>Gây mê cho phẫu thuật lồng ngực</t>
  </si>
  <si>
    <t>Sàng lọc tâm lý người bệnh bằng thang điểm DASS</t>
  </si>
  <si>
    <t xml:space="preserve">Đ.D Trịnh Thị Hải Yến </t>
  </si>
  <si>
    <t xml:space="preserve">Báo cáo kết quả đề tài cơ sở </t>
  </si>
  <si>
    <t>Đánh giá Vien khó - xử trí</t>
  </si>
  <si>
    <t xml:space="preserve">Đ.D Phạm Thị Hoa </t>
  </si>
  <si>
    <t xml:space="preserve">Gây mê cho phẫu thuật nội soi ổ bụng </t>
  </si>
  <si>
    <t>An toàn trong quản lý dụng cụ cấy ghép</t>
  </si>
  <si>
    <t>Đ.D Nguyễn Thị Như Quỳnh</t>
  </si>
  <si>
    <t>ĐƠN VỊ</t>
  </si>
  <si>
    <t>Giờ</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</si>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</sst>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4" x14ac:knownFonts="1">
    <font>
      <sz val="11"/>
      <color theme="1"/>
      <name val="Calibri"/>
      <scheme val="minor"/>
    </font>
    <font>
      <b/>
      <sz val="11"/>
      <color theme="1"/>
      <name val="Times New Roman"/>
      <family val="1"/>
    </font>
    <font>
      <sz val="11"/>
      <color theme="1"/>
      <name val="Times New Roman"/>
      <family val="1"/>
    </font>
    <font>
      <sz val="11"/>
      <color theme="1"/>
      <name val="Calibri"/>
      <family val="2"/>
    </font>
    <font>
      <b/>
      <sz val="12"/>
      <color theme="1"/>
      <name val="Times New Roman"/>
      <family val="1"/>
    </font>
    <font>
      <b/>
      <sz val="12"/>
      <color rgb="FF000000"/>
      <name val="Times New Roman"/>
      <family val="1"/>
    </font>
    <font>
      <b/>
      <sz val="11"/>
      <color theme="1"/>
      <name val="Calibri"/>
      <family val="2"/>
      <scheme val="minor"/>
    </font>
    <font>
      <sz val="12"/>
      <color theme="1"/>
      <name val="Times New Roman"/>
      <family val="1"/>
    </font>
    <font>
      <u/>
      <sz val="12"/>
      <color theme="1"/>
      <name val="Times New Roman"/>
      <family val="1"/>
    </font>
    <font>
      <u/>
      <sz val="12"/>
      <color rgb="FF0000FF"/>
      <name val="Times New Roman"/>
      <family val="1"/>
    </font>
    <font>
      <u/>
      <sz val="11"/>
      <color theme="1"/>
      <name val="Calibri"/>
      <family val="2"/>
      <scheme val="minor"/>
    </font>
    <font>
      <u/>
      <sz val="12"/>
      <color rgb="FF0563C1"/>
      <name val="Times New Roman"/>
      <family val="1"/>
    </font>
    <font>
      <u/>
      <sz val="12"/>
      <color theme="1"/>
      <name val="Times New Roman"/>
      <family val="1"/>
    </font>
    <font>
      <b/>
      <sz val="12"/>
      <color theme="0"/>
      <name val="Times New Roman"/>
      <family val="1"/>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6" fillId="0" borderId="0" xfId="0" applyFont="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7" fillId="7" borderId="1" xfId="0" applyFont="1" applyFill="1" applyBorder="1" applyAlignment="1">
      <alignment horizontal="center" vertical="center" wrapText="1"/>
    </xf>
    <xf numFmtId="0" fontId="8" fillId="8" borderId="1" xfId="0" applyFont="1" applyFill="1" applyBorder="1" applyAlignment="1">
      <alignment vertical="center" wrapText="1"/>
    </xf>
    <xf numFmtId="0" fontId="7" fillId="8" borderId="1" xfId="0" applyFont="1" applyFill="1" applyBorder="1" applyAlignment="1">
      <alignment vertical="center" wrapText="1"/>
    </xf>
    <xf numFmtId="0" fontId="9" fillId="8" borderId="1" xfId="0" applyFont="1" applyFill="1" applyBorder="1" applyAlignment="1">
      <alignment vertical="center" wrapText="1"/>
    </xf>
    <xf numFmtId="0" fontId="7" fillId="7" borderId="1" xfId="0" applyFont="1" applyFill="1" applyBorder="1" applyAlignment="1">
      <alignment horizontal="center" wrapText="1"/>
    </xf>
    <xf numFmtId="0" fontId="7" fillId="0" borderId="1" xfId="0" applyFont="1" applyBorder="1" applyAlignment="1">
      <alignment horizontal="center" wrapText="1"/>
    </xf>
    <xf numFmtId="0" fontId="10" fillId="0" borderId="0" xfId="0" applyFont="1"/>
    <xf numFmtId="0" fontId="11" fillId="8" borderId="1" xfId="0" applyFont="1" applyFill="1" applyBorder="1" applyAlignment="1">
      <alignment vertical="center" wrapText="1"/>
    </xf>
    <xf numFmtId="0" fontId="12" fillId="8" borderId="1" xfId="0" applyFont="1" applyFill="1" applyBorder="1" applyAlignment="1">
      <alignment vertical="center" wrapText="1"/>
    </xf>
    <xf numFmtId="0" fontId="7" fillId="0" borderId="1" xfId="0" applyFont="1" applyBorder="1" applyAlignment="1">
      <alignment horizontal="center" vertical="center"/>
    </xf>
    <xf numFmtId="0" fontId="7" fillId="7" borderId="1" xfId="0" applyFont="1" applyFill="1" applyBorder="1" applyAlignment="1">
      <alignment vertical="center"/>
    </xf>
    <xf numFmtId="0" fontId="7" fillId="0" borderId="1" xfId="0" applyFont="1" applyBorder="1" applyAlignment="1">
      <alignment wrapText="1"/>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wrapText="1"/>
    </xf>
    <xf numFmtId="0" fontId="7"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left" vertical="center"/>
    </xf>
    <xf numFmtId="164" fontId="5" fillId="0" borderId="4" xfId="0" applyNumberFormat="1" applyFont="1" applyBorder="1" applyAlignment="1">
      <alignment horizontal="left" vertical="center"/>
    </xf>
    <xf numFmtId="164" fontId="4" fillId="0" borderId="4" xfId="0" applyNumberFormat="1" applyFont="1" applyBorder="1" applyAlignment="1">
      <alignment horizontal="center" vertical="center" wrapText="1"/>
    </xf>
    <xf numFmtId="164" fontId="4" fillId="7" borderId="4" xfId="0" applyNumberFormat="1" applyFont="1" applyFill="1" applyBorder="1" applyAlignment="1">
      <alignment horizontal="center" vertical="center" wrapText="1"/>
    </xf>
    <xf numFmtId="164" fontId="4" fillId="8" borderId="4" xfId="0" applyNumberFormat="1" applyFont="1" applyFill="1" applyBorder="1" applyAlignment="1">
      <alignment horizontal="center" vertical="center" wrapText="1"/>
    </xf>
    <xf numFmtId="0" fontId="13" fillId="0" borderId="4" xfId="0" applyFont="1" applyBorder="1" applyAlignment="1">
      <alignment horizontal="left" vertical="center"/>
    </xf>
  </cellXfs>
  <cellStyles count="1">
    <cellStyle name="Normal" xfId="0" builtinId="0"/>
  </cellStyles>
  <dxfs count="30">
    <dxf>
      <font>
        <b val="0"/>
        <i val="0"/>
        <strike val="0"/>
        <condense val="0"/>
        <extend val="0"/>
        <outline val="0"/>
        <shadow val="0"/>
        <u val="none"/>
        <vertAlign val="baseline"/>
        <sz val="12"/>
        <color theme="1"/>
        <name val="Times New Roman"/>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E1DD1-3994-4AF1-A50F-5242D056ADFC}" name="Table1" displayName="Table1" ref="A1:AB40" totalsRowShown="0" headerRowBorderDxfId="29" tableBorderDxfId="28">
  <autoFilter ref="A1:AB40" xr:uid="{935E1DD1-3994-4AF1-A50F-5242D056ADFC}"/>
  <tableColumns count="28">
    <tableColumn id="1" xr3:uid="{2322C9E4-E170-4071-B1DE-4C950B1F611A}" name="STT" dataDxfId="27"/>
    <tableColumn id="2" xr3:uid="{D9A76D50-5A5F-4AFB-A779-A0BA2EF4E172}" name="THỨ" dataDxfId="26"/>
    <tableColumn id="3" xr3:uid="{C1AFE14B-5F95-4CBE-AB58-2A04C99E7B8F}" name="Giờ" dataDxfId="25"/>
    <tableColumn id="4" xr3:uid="{86AD9059-1B82-4C0D-8F04-773851E125A2}" name="Ngày" dataDxfId="24"/>
    <tableColumn id="5" xr3:uid="{FE90CF0B-0853-485D-B84B-2C70BA2327AB}" name="Tháng" dataDxfId="23"/>
    <tableColumn id="6" xr3:uid="{F1E1BC25-CED8-4B34-BBFB-A6257308BAFE}" name="Năm" dataDxfId="22"/>
    <tableColumn id="7" xr3:uid="{85386E85-8926-4ACF-8D82-198D0016C63C}" name="ĐƠN VỊ" dataDxfId="21"/>
    <tableColumn id="8" xr3:uid="{9948C4D6-2D83-47C6-878C-FCC974D067A1}" name="NỘI DUNG/CHƯƠNG TRÌNH" dataDxfId="20"/>
    <tableColumn id="9" xr3:uid="{CA057E13-A666-407A-860B-4D2C1400D9BB}" name="BÁO CÁO VIÊN" dataDxfId="19"/>
    <tableColumn id="10" xr3:uid="{87617C82-2AFB-482A-A741-C8189D6E128F}" name="NGƯỜI PHỤ TRÁCH NỘI DUNG" dataDxfId="18"/>
    <tableColumn id="11" xr3:uid="{AD448F24-5F3D-4F5B-802D-A2DB8A3A6379}" name="ĐỐI TƯỢNG" dataDxfId="17"/>
    <tableColumn id="12" xr3:uid="{75D3B886-BD96-433B-A35A-EFB47E70C23C}" name="ĐỊA ĐIỂM" dataDxfId="16"/>
    <tableColumn id="13" xr3:uid="{DE43532D-8A44-487A-A7CD-3B6C69292655}" name="ĐẦU MỐI" dataDxfId="15"/>
    <tableColumn id="14" xr3:uid="{57730D8F-071D-4708-8327-A83F00C048D1}" name="LIÊN HỆ" dataDxfId="14"/>
    <tableColumn id="15" xr3:uid="{9C2A450C-A236-486D-A429-EB752BE8AA3D}" name="Số học viên tham gia" dataDxfId="13"/>
    <tableColumn id="16" xr3:uid="{C48AA740-5954-4942-A0E8-D99B693130F7}" name="Số Học viên đạt" dataDxfId="12"/>
    <tableColumn id="17" xr3:uid="{0A97C883-853B-4087-9F19-F3868DAC77C8}" name="Số HV không đạt" dataDxfId="11"/>
    <tableColumn id="18" xr3:uid="{7D490462-1206-487C-AAD0-0849D458E800}" name="Đúng form post test điểm danh (ít nhất 10 câu): Có/Không" dataDxfId="10"/>
    <tableColumn id="19" xr3:uid="{9DCFA708-8EA0-43DD-AD0E-60CAFDA94B4F}" name="Có bài post test" dataDxfId="9">
      <calculatedColumnFormula>IF(V2&gt;0,"Có","Không")</calculatedColumnFormula>
    </tableColumn>
    <tableColumn id="20" xr3:uid="{5F8E3F5D-6D21-4C91-B4E5-A8806B10FA6C}" name="Có bảng kiểm" dataDxfId="8">
      <calculatedColumnFormula>IF(W2&gt;0,"Có","Không")</calculatedColumnFormula>
    </tableColumn>
    <tableColumn id="21" xr3:uid="{A9DB638D-E6DA-4BE3-A74B-463AEA8C4E5B}" name="Có bài báo cáo" dataDxfId="7">
      <calculatedColumnFormula>IF(X2&gt;0,"Có","Không")</calculatedColumnFormula>
    </tableColumn>
    <tableColumn id="22" xr3:uid="{536A53ED-E833-40A8-B0A4-9BA49FA03FC2}" name="Gắn link Điểm danh và post test" dataDxfId="6"/>
    <tableColumn id="23" xr3:uid="{27BA92D5-869F-474C-8E2B-12E1475C4F87}" name="Gắn link bảng kiểm đào tạo nội bộ" dataDxfId="5"/>
    <tableColumn id="24" xr3:uid="{C1275789-E9A8-40B7-8426-5FF18613F1FC}" name="Gắn link bài báo cáo" dataDxfId="4"/>
    <tableColumn id="25" xr3:uid="{23D1640E-2F53-44F3-82DE-7D291DE59C55}" name="Gắn link video buổi đào tạo" dataDxfId="3"/>
    <tableColumn id="26" xr3:uid="{81E49B57-3DA8-4AA8-8200-A13C045CF63A}" name="Tình trạng thực hiện" dataDxfId="2">
      <calculatedColumnFormula>IF(COUNTA(V2:X2)&gt;0,"Thực hiện","Không thực hiện")</calculatedColumnFormula>
    </tableColumn>
    <tableColumn id="27" xr3:uid="{B8D3D30B-A26B-478E-B7B1-FA235A6864D8}" name="Cập nhật calendar" dataDxfId="1">
      <calculatedColumnFormula>_xludf.TEXTJOIN(" | ",TRUE,"Thứ: "&amp;B2,"Thời gian: "&amp;C2&amp;", ngày "&amp;D2&amp;"/"&amp;E2,"Đơn vị: "&amp;G2,"Nội dung/Chương trình: "&amp;H2,"Báo cáo viên: "&amp;I2,"Người kiểm soát nội dung báo cáo: "&amp;J2,"Đối tượng: "&amp;K2,"Địa điểm: "&amp;L2,"Đầu mối: "&amp;M2,"Liên hệ: "&amp;N2)</calculatedColumnFormula>
    </tableColumn>
    <tableColumn id="28" xr3:uid="{9AF9C1F5-6212-4428-BFF3-7ECB59F48433}"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041tsnE3oPuS82qtdzyEip1Q4OXuvoll/view?usp=drive_link" TargetMode="External"/><Relationship Id="rId3" Type="http://schemas.openxmlformats.org/officeDocument/2006/relationships/hyperlink" Target="https://docs.google.com/spreadsheets/d/1jGl0iyI7D7dhO_9r9V2J4JtnRggcSvfqhxddZUuZOD4/edit?usp=drivesdk" TargetMode="External"/><Relationship Id="rId7" Type="http://schemas.openxmlformats.org/officeDocument/2006/relationships/hyperlink" Target="https://drive.google.com/file/d/1q-7xi4v4HF05I6IQnuo9oVX5_CH1qzlN/view?usp=drive_link" TargetMode="External"/><Relationship Id="rId12" Type="http://schemas.openxmlformats.org/officeDocument/2006/relationships/table" Target="../tables/table1.xml"/><Relationship Id="rId2" Type="http://schemas.openxmlformats.org/officeDocument/2006/relationships/hyperlink" Target="https://www.image2url.com/r2/default/presentations/1777978918670-96b583dd-dc31-450c-bd24-9ec1be8de867.pptx" TargetMode="External"/><Relationship Id="rId1" Type="http://schemas.openxmlformats.org/officeDocument/2006/relationships/hyperlink" Target="https://docs.google.com/spreadsheets/d/1-5Nf6m52uUhXPI7mUVD4qrgET9NFYTOu1OHBWi_NW1U/edit?resourcekey=&amp;gid=982905251" TargetMode="External"/><Relationship Id="rId6" Type="http://schemas.openxmlformats.org/officeDocument/2006/relationships/hyperlink" Target="https://docs.google.com/spreadsheets/d/1VrtJ6fgV0ZTnjg3rv0Qm7hNL_OBsjxVU/edit?gid=673202655" TargetMode="External"/><Relationship Id="rId11" Type="http://schemas.openxmlformats.org/officeDocument/2006/relationships/hyperlink" Target="https://docs.google.com/presentation/d/1bXGFX5jDEQdTn1rBjYC8jjd11evwPk5Q/edit?usp=sharing&amp;ouid=108598970939770597279&amp;rtpof=true&amp;sd=true" TargetMode="External"/><Relationship Id="rId5" Type="http://schemas.openxmlformats.org/officeDocument/2006/relationships/hyperlink" Target="https://docs.google.com/presentation/d/1viwoObsOxOyF-Nf1PVhO9dke4JTCedAb/edit?usp=drivesdk&amp;ouid=117773964317071034425&amp;rtpof=true&amp;sd=true" TargetMode="External"/><Relationship Id="rId10" Type="http://schemas.openxmlformats.org/officeDocument/2006/relationships/hyperlink" Target="https://drive.google.com/file/d/1IuqDRNG5CJsV7F8dt2vMdqwrl6w6bfTL/view?usp=sharing" TargetMode="External"/><Relationship Id="rId4" Type="http://schemas.openxmlformats.org/officeDocument/2006/relationships/hyperlink" Target="https://drive.google.com/file/d/1SlyVyhUhCsR14Taj6p3p7cdtwxOAQvpL/view?usp=sharing" TargetMode="External"/><Relationship Id="rId9" Type="http://schemas.openxmlformats.org/officeDocument/2006/relationships/hyperlink" Target="https://docs.google.com/spreadsheets/d/1MkffGLu8EH1AulIZtZHnedNsGjC3KgkMr7mcC7FRKt0/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baseColWidth="10" defaultColWidth="14.5" defaultRowHeight="15" customHeight="1" x14ac:dyDescent="0.2"/>
  <cols>
    <col min="3" max="3" width="33.1640625" customWidth="1"/>
    <col min="4" max="4" width="44.6640625" customWidth="1"/>
    <col min="5" max="5" width="38.83203125" customWidth="1"/>
  </cols>
  <sheetData>
    <row r="1" spans="1:7" ht="15" customHeight="1" x14ac:dyDescent="0.2">
      <c r="A1" s="1" t="s">
        <v>0</v>
      </c>
      <c r="B1" s="1" t="s">
        <v>1</v>
      </c>
      <c r="C1" s="1" t="s">
        <v>2</v>
      </c>
      <c r="D1" s="2" t="s">
        <v>3</v>
      </c>
      <c r="E1" s="2" t="s">
        <v>4</v>
      </c>
      <c r="F1" s="2" t="s">
        <v>5</v>
      </c>
      <c r="G1" s="2" t="s">
        <v>6</v>
      </c>
    </row>
    <row r="2" spans="1:7" ht="15" customHeight="1" x14ac:dyDescent="0.2">
      <c r="A2" s="3">
        <v>1</v>
      </c>
      <c r="B2" s="4" t="s">
        <v>7</v>
      </c>
      <c r="C2" s="4" t="s">
        <v>8</v>
      </c>
      <c r="D2" s="5" t="s">
        <v>9</v>
      </c>
      <c r="E2" s="6"/>
      <c r="F2" s="6"/>
      <c r="G2" s="6"/>
    </row>
    <row r="3" spans="1:7" ht="15" customHeight="1" x14ac:dyDescent="0.2">
      <c r="A3" s="3">
        <v>2</v>
      </c>
      <c r="B3" s="4" t="s">
        <v>7</v>
      </c>
      <c r="C3" s="4" t="s">
        <v>10</v>
      </c>
      <c r="D3" s="5" t="s">
        <v>11</v>
      </c>
      <c r="E3" s="5" t="s">
        <v>12</v>
      </c>
      <c r="F3" s="5" t="s">
        <v>13</v>
      </c>
      <c r="G3" s="6"/>
    </row>
    <row r="4" spans="1:7" ht="15" customHeight="1" x14ac:dyDescent="0.2">
      <c r="A4" s="3">
        <v>4</v>
      </c>
      <c r="B4" s="4" t="s">
        <v>7</v>
      </c>
      <c r="C4" s="4" t="s">
        <v>14</v>
      </c>
      <c r="D4" s="5" t="s">
        <v>15</v>
      </c>
      <c r="E4" s="5" t="s">
        <v>12</v>
      </c>
      <c r="F4" s="6"/>
      <c r="G4" s="6"/>
    </row>
    <row r="5" spans="1:7" ht="15" customHeight="1" x14ac:dyDescent="0.2">
      <c r="A5" s="3">
        <v>6</v>
      </c>
      <c r="B5" s="4" t="s">
        <v>7</v>
      </c>
      <c r="C5" s="4" t="s">
        <v>16</v>
      </c>
      <c r="D5" s="5" t="s">
        <v>17</v>
      </c>
      <c r="E5" s="6"/>
      <c r="F5" s="6"/>
      <c r="G5" s="6"/>
    </row>
    <row r="6" spans="1:7" ht="15" customHeight="1" x14ac:dyDescent="0.2">
      <c r="A6" s="7">
        <v>7</v>
      </c>
      <c r="B6" s="8" t="s">
        <v>18</v>
      </c>
      <c r="C6" s="8" t="s">
        <v>19</v>
      </c>
      <c r="D6" s="9" t="s">
        <v>20</v>
      </c>
      <c r="E6" s="10"/>
      <c r="F6" s="9" t="s">
        <v>21</v>
      </c>
      <c r="G6" s="10"/>
    </row>
    <row r="7" spans="1:7" ht="15" customHeight="1" x14ac:dyDescent="0.2">
      <c r="A7" s="7">
        <v>8</v>
      </c>
      <c r="B7" s="8" t="s">
        <v>18</v>
      </c>
      <c r="C7" s="8" t="s">
        <v>22</v>
      </c>
      <c r="D7" s="9" t="s">
        <v>23</v>
      </c>
      <c r="E7" s="10"/>
      <c r="F7" s="10"/>
      <c r="G7" s="10"/>
    </row>
    <row r="8" spans="1:7" ht="15" customHeight="1" x14ac:dyDescent="0.2">
      <c r="A8" s="7">
        <v>9</v>
      </c>
      <c r="B8" s="8" t="s">
        <v>18</v>
      </c>
      <c r="C8" s="8" t="s">
        <v>24</v>
      </c>
      <c r="D8" s="9" t="s">
        <v>25</v>
      </c>
      <c r="E8" s="9" t="s">
        <v>26</v>
      </c>
      <c r="F8" s="10"/>
      <c r="G8" s="10"/>
    </row>
    <row r="9" spans="1:7" ht="15" customHeight="1" x14ac:dyDescent="0.2">
      <c r="A9" s="7">
        <v>10</v>
      </c>
      <c r="B9" s="8" t="s">
        <v>18</v>
      </c>
      <c r="C9" s="8" t="s">
        <v>27</v>
      </c>
      <c r="D9" s="9" t="s">
        <v>28</v>
      </c>
      <c r="E9" s="10"/>
      <c r="F9" s="9" t="s">
        <v>29</v>
      </c>
      <c r="G9" s="10"/>
    </row>
    <row r="10" spans="1:7" ht="15" customHeight="1" x14ac:dyDescent="0.2">
      <c r="A10" s="7">
        <v>11</v>
      </c>
      <c r="B10" s="8" t="s">
        <v>18</v>
      </c>
      <c r="C10" s="8" t="s">
        <v>30</v>
      </c>
      <c r="D10" s="9" t="s">
        <v>31</v>
      </c>
      <c r="E10" s="10"/>
      <c r="F10" s="10"/>
      <c r="G10" s="10"/>
    </row>
    <row r="11" spans="1:7" ht="15" customHeight="1" x14ac:dyDescent="0.2">
      <c r="A11" s="7">
        <v>12</v>
      </c>
      <c r="B11" s="8" t="s">
        <v>18</v>
      </c>
      <c r="C11" s="8" t="s">
        <v>32</v>
      </c>
      <c r="D11" s="9" t="s">
        <v>33</v>
      </c>
      <c r="E11" s="10"/>
      <c r="F11" s="10"/>
      <c r="G11" s="10"/>
    </row>
    <row r="12" spans="1:7" ht="15" customHeight="1" x14ac:dyDescent="0.2">
      <c r="A12" s="11">
        <v>13</v>
      </c>
      <c r="B12" s="12" t="s">
        <v>34</v>
      </c>
      <c r="C12" s="12" t="s">
        <v>35</v>
      </c>
      <c r="D12" s="13" t="s">
        <v>36</v>
      </c>
      <c r="E12" s="14"/>
      <c r="F12" s="14"/>
      <c r="G12" s="14"/>
    </row>
    <row r="13" spans="1:7" ht="15" customHeight="1" x14ac:dyDescent="0.2">
      <c r="A13" s="11">
        <v>14</v>
      </c>
      <c r="B13" s="12" t="s">
        <v>34</v>
      </c>
      <c r="C13" s="12" t="s">
        <v>37</v>
      </c>
      <c r="D13" s="13" t="s">
        <v>38</v>
      </c>
      <c r="E13" s="14"/>
      <c r="F13" s="14"/>
      <c r="G13" s="14"/>
    </row>
    <row r="14" spans="1:7" ht="15" customHeight="1" x14ac:dyDescent="0.2">
      <c r="A14" s="11">
        <v>15</v>
      </c>
      <c r="B14" s="12" t="s">
        <v>34</v>
      </c>
      <c r="C14" s="12" t="s">
        <v>39</v>
      </c>
      <c r="D14" s="13" t="s">
        <v>40</v>
      </c>
      <c r="E14" s="14"/>
      <c r="F14" s="14"/>
      <c r="G14" s="14"/>
    </row>
    <row r="15" spans="1:7" ht="15" customHeight="1" x14ac:dyDescent="0.2">
      <c r="A15" s="15">
        <v>16</v>
      </c>
      <c r="B15" s="16" t="s">
        <v>41</v>
      </c>
      <c r="C15" s="16" t="s">
        <v>42</v>
      </c>
      <c r="D15" s="17" t="s">
        <v>43</v>
      </c>
      <c r="E15" s="18"/>
      <c r="F15" s="18"/>
      <c r="G15" s="18"/>
    </row>
    <row r="16" spans="1:7" ht="15" customHeight="1" x14ac:dyDescent="0.2">
      <c r="A16" s="15">
        <v>17</v>
      </c>
      <c r="B16" s="16" t="s">
        <v>41</v>
      </c>
      <c r="C16" s="16" t="s">
        <v>44</v>
      </c>
      <c r="D16" s="17" t="s">
        <v>45</v>
      </c>
      <c r="E16" s="18"/>
      <c r="F16" s="18"/>
      <c r="G16" s="18"/>
    </row>
    <row r="17" spans="1:7" ht="15" customHeight="1" x14ac:dyDescent="0.2">
      <c r="A17" s="15">
        <v>18</v>
      </c>
      <c r="B17" s="16" t="s">
        <v>41</v>
      </c>
      <c r="C17" s="16" t="s">
        <v>46</v>
      </c>
      <c r="D17" s="17" t="s">
        <v>47</v>
      </c>
      <c r="E17" s="18"/>
      <c r="F17" s="18"/>
      <c r="G17" s="18"/>
    </row>
    <row r="18" spans="1:7" ht="15" customHeight="1" x14ac:dyDescent="0.2">
      <c r="A18" s="15">
        <v>19</v>
      </c>
      <c r="B18" s="16" t="s">
        <v>41</v>
      </c>
      <c r="C18" s="16" t="s">
        <v>48</v>
      </c>
      <c r="D18" s="17" t="s">
        <v>49</v>
      </c>
      <c r="E18" s="18"/>
      <c r="F18" s="18"/>
      <c r="G18" s="18"/>
    </row>
    <row r="19" spans="1:7" ht="15" customHeight="1" x14ac:dyDescent="0.2">
      <c r="A19" s="15">
        <v>20</v>
      </c>
      <c r="B19" s="16" t="s">
        <v>41</v>
      </c>
      <c r="C19" s="16" t="s">
        <v>50</v>
      </c>
      <c r="D19" s="17" t="s">
        <v>51</v>
      </c>
      <c r="E19" s="18"/>
      <c r="F19" s="18"/>
      <c r="G19" s="18"/>
    </row>
    <row r="20" spans="1:7" ht="15" customHeight="1" x14ac:dyDescent="0.2">
      <c r="A20" s="19">
        <v>21</v>
      </c>
      <c r="B20" s="20" t="s">
        <v>52</v>
      </c>
      <c r="C20" s="20" t="s">
        <v>53</v>
      </c>
      <c r="D20" s="21" t="s">
        <v>54</v>
      </c>
      <c r="E20" s="22"/>
      <c r="F20" s="22"/>
      <c r="G20" s="22"/>
    </row>
    <row r="21" spans="1:7" ht="15" customHeight="1" x14ac:dyDescent="0.2">
      <c r="A21" s="19">
        <v>22</v>
      </c>
      <c r="B21" s="20" t="s">
        <v>52</v>
      </c>
      <c r="C21" s="20" t="s">
        <v>55</v>
      </c>
      <c r="D21" s="21" t="s">
        <v>56</v>
      </c>
      <c r="E21" s="22"/>
      <c r="F21" s="22"/>
      <c r="G21" s="22"/>
    </row>
    <row r="22" spans="1:7" ht="15" customHeight="1" x14ac:dyDescent="0.2">
      <c r="A22" s="19">
        <v>23</v>
      </c>
      <c r="B22" s="20" t="s">
        <v>52</v>
      </c>
      <c r="C22" s="20" t="s">
        <v>57</v>
      </c>
      <c r="D22" s="21" t="s">
        <v>58</v>
      </c>
      <c r="E22" s="22"/>
      <c r="F22" s="22"/>
      <c r="G22" s="22"/>
    </row>
    <row r="23" spans="1:7" ht="15" customHeight="1" x14ac:dyDescent="0.2">
      <c r="A23" s="19">
        <v>24</v>
      </c>
      <c r="B23" s="20" t="s">
        <v>52</v>
      </c>
      <c r="C23" s="20" t="s">
        <v>59</v>
      </c>
      <c r="D23" s="21" t="s">
        <v>60</v>
      </c>
      <c r="E23" s="22"/>
      <c r="F23" s="22"/>
      <c r="G23" s="22"/>
    </row>
    <row r="24" spans="1:7" ht="15" customHeight="1" x14ac:dyDescent="0.2">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0"/>
  <sheetViews>
    <sheetView tabSelected="1" workbookViewId="0">
      <pane xSplit="8" ySplit="1" topLeftCell="J2" activePane="bottomRight" state="frozen"/>
      <selection pane="topRight" activeCell="I1" sqref="I1"/>
      <selection pane="bottomLeft" activeCell="A2" sqref="A2"/>
      <selection pane="bottomRight" activeCell="J2" sqref="J2"/>
    </sheetView>
  </sheetViews>
  <sheetFormatPr baseColWidth="10" defaultColWidth="14.5" defaultRowHeight="15" customHeight="1" x14ac:dyDescent="0.2"/>
  <cols>
    <col min="1" max="2" width="9.83203125" customWidth="1"/>
    <col min="3" max="3" width="17" customWidth="1"/>
    <col min="4" max="6" width="9.83203125" customWidth="1"/>
    <col min="7" max="7" width="32.5" customWidth="1"/>
    <col min="8" max="8" width="54.5" customWidth="1"/>
    <col min="9" max="9" width="43" customWidth="1"/>
    <col min="10" max="10" width="25.33203125" customWidth="1"/>
    <col min="11" max="12" width="46" customWidth="1"/>
    <col min="13" max="13" width="35.5" customWidth="1"/>
    <col min="14" max="14" width="17.6640625" customWidth="1"/>
    <col min="15" max="15" width="22.6640625" customWidth="1"/>
    <col min="16" max="16" width="18.1640625" customWidth="1"/>
    <col min="17" max="17" width="19.5" customWidth="1"/>
    <col min="18" max="18" width="57.83203125" customWidth="1"/>
    <col min="19" max="19" width="18" customWidth="1"/>
    <col min="20" max="21" width="17.6640625" customWidth="1"/>
    <col min="22" max="22" width="33.6640625" customWidth="1"/>
    <col min="23" max="23" width="35.5" customWidth="1"/>
    <col min="24" max="24" width="22.5" customWidth="1"/>
    <col min="25" max="25" width="29.1640625" customWidth="1"/>
    <col min="26" max="26" width="22.5" customWidth="1"/>
    <col min="27" max="27" width="80.83203125" customWidth="1"/>
    <col min="28" max="28" width="29.5" customWidth="1"/>
    <col min="29" max="29" width="8.6640625" customWidth="1"/>
  </cols>
  <sheetData>
    <row r="1" spans="1:29" ht="87" customHeight="1" x14ac:dyDescent="0.2">
      <c r="A1" s="43" t="s">
        <v>0</v>
      </c>
      <c r="B1" s="44" t="s">
        <v>63</v>
      </c>
      <c r="C1" s="44" t="s">
        <v>184</v>
      </c>
      <c r="D1" s="44" t="s">
        <v>64</v>
      </c>
      <c r="E1" s="44" t="s">
        <v>65</v>
      </c>
      <c r="F1" s="44" t="s">
        <v>66</v>
      </c>
      <c r="G1" s="44" t="s">
        <v>183</v>
      </c>
      <c r="H1" s="44" t="s">
        <v>67</v>
      </c>
      <c r="I1" s="44" t="s">
        <v>68</v>
      </c>
      <c r="J1" s="50" t="s">
        <v>185</v>
      </c>
      <c r="K1" s="45" t="s">
        <v>69</v>
      </c>
      <c r="L1" s="45" t="s">
        <v>70</v>
      </c>
      <c r="M1" s="45" t="s">
        <v>71</v>
      </c>
      <c r="N1" s="46" t="s">
        <v>72</v>
      </c>
      <c r="O1" s="47" t="s">
        <v>73</v>
      </c>
      <c r="P1" s="47" t="s">
        <v>74</v>
      </c>
      <c r="Q1" s="47" t="s">
        <v>75</v>
      </c>
      <c r="R1" s="47" t="s">
        <v>76</v>
      </c>
      <c r="S1" s="48" t="s">
        <v>77</v>
      </c>
      <c r="T1" s="48" t="s">
        <v>78</v>
      </c>
      <c r="U1" s="48" t="s">
        <v>79</v>
      </c>
      <c r="V1" s="49" t="s">
        <v>80</v>
      </c>
      <c r="W1" s="49" t="s">
        <v>81</v>
      </c>
      <c r="X1" s="49" t="s">
        <v>82</v>
      </c>
      <c r="Y1" s="49" t="s">
        <v>83</v>
      </c>
      <c r="Z1" s="48" t="s">
        <v>84</v>
      </c>
      <c r="AA1" s="48" t="s">
        <v>85</v>
      </c>
      <c r="AB1" s="47" t="s">
        <v>86</v>
      </c>
      <c r="AC1" s="23"/>
    </row>
    <row r="2" spans="1:29" ht="85" x14ac:dyDescent="0.2">
      <c r="A2" s="42">
        <v>1</v>
      </c>
      <c r="B2" s="24" t="s">
        <v>87</v>
      </c>
      <c r="C2" s="24" t="s">
        <v>88</v>
      </c>
      <c r="D2" s="24">
        <v>17</v>
      </c>
      <c r="E2" s="24">
        <v>4</v>
      </c>
      <c r="F2" s="24">
        <v>2026</v>
      </c>
      <c r="G2" s="24" t="s">
        <v>89</v>
      </c>
      <c r="H2" s="25" t="s">
        <v>90</v>
      </c>
      <c r="I2" s="25" t="s">
        <v>91</v>
      </c>
      <c r="J2" s="25" t="s">
        <v>91</v>
      </c>
      <c r="K2" s="24" t="s">
        <v>92</v>
      </c>
      <c r="L2" s="24" t="s">
        <v>93</v>
      </c>
      <c r="M2" s="24" t="s">
        <v>94</v>
      </c>
      <c r="N2" s="24">
        <v>366282160</v>
      </c>
      <c r="O2" s="26">
        <v>27</v>
      </c>
      <c r="P2" s="26">
        <v>24</v>
      </c>
      <c r="Q2" s="26">
        <v>3</v>
      </c>
      <c r="R2" s="26" t="s">
        <v>95</v>
      </c>
      <c r="S2" s="27" t="str">
        <f t="shared" ref="S2:U2" si="0">IF(V2&gt;0,"Có","Không")</f>
        <v>Có</v>
      </c>
      <c r="T2" s="27" t="str">
        <f t="shared" si="0"/>
        <v>Không</v>
      </c>
      <c r="U2" s="27" t="str">
        <f t="shared" si="0"/>
        <v>Có</v>
      </c>
      <c r="V2" s="28" t="s">
        <v>96</v>
      </c>
      <c r="W2" s="29"/>
      <c r="X2" s="30" t="s">
        <v>97</v>
      </c>
      <c r="Y2" s="29"/>
      <c r="Z2" s="27" t="str">
        <f t="shared" ref="Z2:Z5" si="1">IF(COUNTA(V2:X2)&gt;0,"Thực hiện","Không thực hiện")</f>
        <v>Thực hiện</v>
      </c>
      <c r="AA2" s="31" t="e">
        <f t="shared" ref="AA2:AA40" ca="1" si="2">_xludf.TEXTJOIN(" | ",TRUE,"Thứ: "&amp;B2,"Thời gian: "&amp;C2&amp;", ngày "&amp;D2&amp;"/"&amp;E2,"Đơn vị: "&amp;G2,"Nội dung/Chương trình: "&amp;H2,"Báo cáo viên: "&amp;I2,"Người kiểm soát nội dung báo cáo: "&amp;J2,"Đối tượng: "&amp;K2,"Địa điểm: "&amp;L2,"Đầu mối: "&amp;M2,"Liên hệ: "&amp;N2)</f>
        <v>#NAME?</v>
      </c>
      <c r="AB2" s="32" t="s">
        <v>98</v>
      </c>
    </row>
    <row r="3" spans="1:29" ht="17" x14ac:dyDescent="0.2">
      <c r="A3" s="42">
        <v>3</v>
      </c>
      <c r="B3" s="24" t="s">
        <v>99</v>
      </c>
      <c r="C3" s="24" t="s">
        <v>88</v>
      </c>
      <c r="D3" s="24">
        <v>29</v>
      </c>
      <c r="E3" s="24">
        <v>4</v>
      </c>
      <c r="F3" s="24">
        <v>2026</v>
      </c>
      <c r="G3" s="24" t="s">
        <v>89</v>
      </c>
      <c r="H3" s="25" t="s">
        <v>100</v>
      </c>
      <c r="I3" s="25" t="s">
        <v>101</v>
      </c>
      <c r="J3" s="25" t="s">
        <v>101</v>
      </c>
      <c r="K3" s="24" t="s">
        <v>92</v>
      </c>
      <c r="L3" s="24" t="s">
        <v>93</v>
      </c>
      <c r="M3" s="24" t="s">
        <v>94</v>
      </c>
      <c r="N3" s="24">
        <v>366282160</v>
      </c>
      <c r="O3" s="26"/>
      <c r="P3" s="26"/>
      <c r="Q3" s="26"/>
      <c r="R3" s="26"/>
      <c r="S3" s="27" t="str">
        <f t="shared" ref="S3:U3" si="3">IF(V3&gt;0,"Có","Không")</f>
        <v>Không</v>
      </c>
      <c r="T3" s="27" t="str">
        <f t="shared" si="3"/>
        <v>Không</v>
      </c>
      <c r="U3" s="27" t="str">
        <f t="shared" si="3"/>
        <v>Không</v>
      </c>
      <c r="V3" s="29"/>
      <c r="W3" s="29"/>
      <c r="X3" s="29"/>
      <c r="Y3" s="29"/>
      <c r="Z3" s="27" t="str">
        <f t="shared" si="1"/>
        <v>Không thực hiện</v>
      </c>
      <c r="AA3" s="31" t="e">
        <f t="shared" ca="1" si="2"/>
        <v>#NAME?</v>
      </c>
      <c r="AB3" s="32" t="s">
        <v>102</v>
      </c>
    </row>
    <row r="4" spans="1:29" ht="34" x14ac:dyDescent="0.2">
      <c r="A4" s="42">
        <v>2</v>
      </c>
      <c r="B4" s="24" t="s">
        <v>103</v>
      </c>
      <c r="C4" s="24" t="s">
        <v>88</v>
      </c>
      <c r="D4" s="24">
        <v>2</v>
      </c>
      <c r="E4" s="24">
        <v>5</v>
      </c>
      <c r="F4" s="24">
        <v>2026</v>
      </c>
      <c r="G4" s="24" t="s">
        <v>89</v>
      </c>
      <c r="H4" s="25" t="s">
        <v>104</v>
      </c>
      <c r="I4" s="25" t="s">
        <v>105</v>
      </c>
      <c r="J4" s="25" t="s">
        <v>105</v>
      </c>
      <c r="K4" s="24" t="s">
        <v>92</v>
      </c>
      <c r="L4" s="24" t="s">
        <v>93</v>
      </c>
      <c r="M4" s="24" t="s">
        <v>94</v>
      </c>
      <c r="N4" s="24">
        <v>366282160</v>
      </c>
      <c r="O4" s="26">
        <v>18</v>
      </c>
      <c r="P4" s="26">
        <v>17</v>
      </c>
      <c r="Q4" s="26">
        <v>1</v>
      </c>
      <c r="R4" s="26" t="s">
        <v>95</v>
      </c>
      <c r="S4" s="27" t="str">
        <f t="shared" ref="S4:U4" si="4">IF(V4&gt;0,"Có","Không")</f>
        <v>Có</v>
      </c>
      <c r="T4" s="27" t="str">
        <f t="shared" si="4"/>
        <v>Có</v>
      </c>
      <c r="U4" s="27" t="str">
        <f t="shared" si="4"/>
        <v>Có</v>
      </c>
      <c r="V4" s="28" t="s">
        <v>106</v>
      </c>
      <c r="W4" s="33" t="s">
        <v>107</v>
      </c>
      <c r="X4" s="28" t="s">
        <v>108</v>
      </c>
      <c r="Y4" s="29"/>
      <c r="Z4" s="27" t="str">
        <f t="shared" si="1"/>
        <v>Thực hiện</v>
      </c>
      <c r="AA4" s="31" t="e">
        <f t="shared" ca="1" si="2"/>
        <v>#NAME?</v>
      </c>
      <c r="AB4" s="32" t="s">
        <v>109</v>
      </c>
    </row>
    <row r="5" spans="1:29" ht="68" x14ac:dyDescent="0.2">
      <c r="A5" s="42">
        <v>4</v>
      </c>
      <c r="B5" s="24" t="s">
        <v>110</v>
      </c>
      <c r="C5" s="24" t="s">
        <v>88</v>
      </c>
      <c r="D5" s="24">
        <v>9</v>
      </c>
      <c r="E5" s="24">
        <v>5</v>
      </c>
      <c r="F5" s="24">
        <v>2026</v>
      </c>
      <c r="G5" s="24" t="s">
        <v>89</v>
      </c>
      <c r="H5" s="25" t="s">
        <v>111</v>
      </c>
      <c r="I5" s="25" t="s">
        <v>112</v>
      </c>
      <c r="J5" s="25" t="s">
        <v>112</v>
      </c>
      <c r="K5" s="24" t="s">
        <v>92</v>
      </c>
      <c r="L5" s="24" t="s">
        <v>93</v>
      </c>
      <c r="M5" s="24" t="s">
        <v>94</v>
      </c>
      <c r="N5" s="24">
        <v>366282160</v>
      </c>
      <c r="O5" s="26">
        <v>16</v>
      </c>
      <c r="P5" s="26">
        <v>16</v>
      </c>
      <c r="Q5" s="26">
        <v>0</v>
      </c>
      <c r="R5" s="26" t="s">
        <v>95</v>
      </c>
      <c r="S5" s="27" t="str">
        <f t="shared" ref="S5:U5" si="5">IF(V5&gt;0,"Có","Không")</f>
        <v>Có</v>
      </c>
      <c r="T5" s="27" t="str">
        <f t="shared" si="5"/>
        <v>Có</v>
      </c>
      <c r="U5" s="27" t="str">
        <f t="shared" si="5"/>
        <v>Có</v>
      </c>
      <c r="V5" s="28" t="s">
        <v>113</v>
      </c>
      <c r="W5" s="34" t="s">
        <v>114</v>
      </c>
      <c r="X5" s="35" t="s">
        <v>115</v>
      </c>
      <c r="Y5" s="29"/>
      <c r="Z5" s="27" t="str">
        <f t="shared" si="1"/>
        <v>Thực hiện</v>
      </c>
      <c r="AA5" s="31" t="e">
        <f t="shared" ca="1" si="2"/>
        <v>#NAME?</v>
      </c>
      <c r="AB5" s="32" t="s">
        <v>116</v>
      </c>
    </row>
    <row r="6" spans="1:29" ht="34" x14ac:dyDescent="0.2">
      <c r="A6" s="42">
        <v>5</v>
      </c>
      <c r="B6" s="24" t="s">
        <v>110</v>
      </c>
      <c r="C6" s="24" t="s">
        <v>88</v>
      </c>
      <c r="D6" s="24">
        <v>14</v>
      </c>
      <c r="E6" s="24">
        <v>5</v>
      </c>
      <c r="F6" s="24">
        <v>2026</v>
      </c>
      <c r="G6" s="24" t="s">
        <v>89</v>
      </c>
      <c r="H6" s="25" t="s">
        <v>117</v>
      </c>
      <c r="I6" s="25" t="s">
        <v>118</v>
      </c>
      <c r="J6" s="25" t="s">
        <v>118</v>
      </c>
      <c r="K6" s="24" t="s">
        <v>92</v>
      </c>
      <c r="L6" s="24" t="s">
        <v>93</v>
      </c>
      <c r="M6" s="24" t="s">
        <v>94</v>
      </c>
      <c r="N6" s="24">
        <v>366282160</v>
      </c>
      <c r="O6" s="36"/>
      <c r="P6" s="26"/>
      <c r="Q6" s="26"/>
      <c r="R6" s="26"/>
      <c r="S6" s="37"/>
      <c r="T6" s="37"/>
      <c r="U6" s="37"/>
      <c r="V6" s="29"/>
      <c r="W6" s="29"/>
      <c r="X6" s="29"/>
      <c r="Y6" s="29"/>
      <c r="Z6" s="37"/>
      <c r="AA6" s="31" t="e">
        <f t="shared" ca="1" si="2"/>
        <v>#NAME?</v>
      </c>
      <c r="AB6" s="38" t="s">
        <v>119</v>
      </c>
    </row>
    <row r="7" spans="1:29" ht="34" x14ac:dyDescent="0.2">
      <c r="A7" s="42">
        <v>6</v>
      </c>
      <c r="B7" s="24" t="s">
        <v>110</v>
      </c>
      <c r="C7" s="24" t="s">
        <v>88</v>
      </c>
      <c r="D7" s="24">
        <v>15</v>
      </c>
      <c r="E7" s="24">
        <v>5</v>
      </c>
      <c r="F7" s="24">
        <v>2026</v>
      </c>
      <c r="G7" s="24" t="s">
        <v>89</v>
      </c>
      <c r="H7" s="25" t="s">
        <v>120</v>
      </c>
      <c r="I7" s="39" t="s">
        <v>121</v>
      </c>
      <c r="J7" s="39" t="s">
        <v>121</v>
      </c>
      <c r="K7" s="24" t="s">
        <v>92</v>
      </c>
      <c r="L7" s="24" t="s">
        <v>93</v>
      </c>
      <c r="M7" s="24" t="s">
        <v>94</v>
      </c>
      <c r="N7" s="24">
        <v>366282160</v>
      </c>
      <c r="O7" s="26">
        <v>15</v>
      </c>
      <c r="P7" s="26">
        <v>14</v>
      </c>
      <c r="Q7" s="26">
        <v>1</v>
      </c>
      <c r="R7" s="26" t="s">
        <v>95</v>
      </c>
      <c r="S7" s="27" t="str">
        <f t="shared" ref="S7:U7" si="6">IF(V7&gt;0,"Có","Không")</f>
        <v>Có</v>
      </c>
      <c r="T7" s="27" t="str">
        <f t="shared" si="6"/>
        <v>Có</v>
      </c>
      <c r="U7" s="27" t="str">
        <f t="shared" si="6"/>
        <v>Có</v>
      </c>
      <c r="V7" s="28" t="s">
        <v>122</v>
      </c>
      <c r="W7" s="28" t="s">
        <v>123</v>
      </c>
      <c r="X7" s="28" t="s">
        <v>124</v>
      </c>
      <c r="Y7" s="29"/>
      <c r="Z7" s="27" t="str">
        <f t="shared" ref="Z7:Z11" si="7">IF(COUNTA(V7:X7)&gt;0,"Thực hiện","Không thực hiện")</f>
        <v>Thực hiện</v>
      </c>
      <c r="AA7" s="31" t="e">
        <f t="shared" ca="1" si="2"/>
        <v>#NAME?</v>
      </c>
      <c r="AB7" s="38" t="s">
        <v>125</v>
      </c>
    </row>
    <row r="8" spans="1:29" ht="17" x14ac:dyDescent="0.2">
      <c r="A8" s="42">
        <v>7</v>
      </c>
      <c r="B8" s="24" t="s">
        <v>110</v>
      </c>
      <c r="C8" s="24" t="s">
        <v>88</v>
      </c>
      <c r="D8" s="24">
        <v>28</v>
      </c>
      <c r="E8" s="24">
        <v>5</v>
      </c>
      <c r="F8" s="24">
        <v>2026</v>
      </c>
      <c r="G8" s="24" t="s">
        <v>89</v>
      </c>
      <c r="H8" s="25" t="s">
        <v>126</v>
      </c>
      <c r="I8" s="26" t="s">
        <v>127</v>
      </c>
      <c r="J8" s="26" t="s">
        <v>127</v>
      </c>
      <c r="K8" s="24" t="s">
        <v>92</v>
      </c>
      <c r="L8" s="24" t="s">
        <v>93</v>
      </c>
      <c r="M8" s="24" t="s">
        <v>94</v>
      </c>
      <c r="N8" s="24">
        <v>366282160</v>
      </c>
      <c r="O8" s="26"/>
      <c r="P8" s="26"/>
      <c r="Q8" s="26"/>
      <c r="R8" s="26"/>
      <c r="S8" s="27" t="str">
        <f t="shared" ref="S8:U8" si="8">IF(V8&gt;0,"Có","Không")</f>
        <v>Không</v>
      </c>
      <c r="T8" s="27" t="str">
        <f t="shared" si="8"/>
        <v>Không</v>
      </c>
      <c r="U8" s="27" t="str">
        <f t="shared" si="8"/>
        <v>Không</v>
      </c>
      <c r="V8" s="29"/>
      <c r="W8" s="29"/>
      <c r="X8" s="29"/>
      <c r="Y8" s="29"/>
      <c r="Z8" s="27" t="str">
        <f t="shared" si="7"/>
        <v>Không thực hiện</v>
      </c>
      <c r="AA8" s="31" t="e">
        <f t="shared" ca="1" si="2"/>
        <v>#NAME?</v>
      </c>
      <c r="AB8" s="38"/>
    </row>
    <row r="9" spans="1:29" ht="17" x14ac:dyDescent="0.2">
      <c r="A9" s="42">
        <v>8</v>
      </c>
      <c r="B9" s="24" t="s">
        <v>110</v>
      </c>
      <c r="C9" s="24" t="s">
        <v>88</v>
      </c>
      <c r="D9" s="24">
        <v>4</v>
      </c>
      <c r="E9" s="24">
        <v>6</v>
      </c>
      <c r="F9" s="24">
        <v>2026</v>
      </c>
      <c r="G9" s="24" t="s">
        <v>89</v>
      </c>
      <c r="H9" s="25" t="s">
        <v>128</v>
      </c>
      <c r="I9" s="26" t="s">
        <v>129</v>
      </c>
      <c r="J9" s="26" t="s">
        <v>129</v>
      </c>
      <c r="K9" s="24" t="s">
        <v>92</v>
      </c>
      <c r="L9" s="24" t="s">
        <v>93</v>
      </c>
      <c r="M9" s="24" t="s">
        <v>94</v>
      </c>
      <c r="N9" s="24">
        <v>366282160</v>
      </c>
      <c r="O9" s="26"/>
      <c r="P9" s="26"/>
      <c r="Q9" s="26"/>
      <c r="R9" s="26"/>
      <c r="S9" s="27" t="str">
        <f t="shared" ref="S9:U9" si="9">IF(V9&gt;0,"Có","Không")</f>
        <v>Không</v>
      </c>
      <c r="T9" s="27" t="str">
        <f t="shared" si="9"/>
        <v>Không</v>
      </c>
      <c r="U9" s="27" t="str">
        <f t="shared" si="9"/>
        <v>Không</v>
      </c>
      <c r="V9" s="29"/>
      <c r="W9" s="29"/>
      <c r="X9" s="29"/>
      <c r="Y9" s="29"/>
      <c r="Z9" s="27" t="str">
        <f t="shared" si="7"/>
        <v>Không thực hiện</v>
      </c>
      <c r="AA9" s="31" t="e">
        <f t="shared" ca="1" si="2"/>
        <v>#NAME?</v>
      </c>
      <c r="AB9" s="38"/>
    </row>
    <row r="10" spans="1:29" ht="17" x14ac:dyDescent="0.2">
      <c r="A10" s="42">
        <v>9</v>
      </c>
      <c r="B10" s="24" t="s">
        <v>110</v>
      </c>
      <c r="C10" s="24" t="s">
        <v>88</v>
      </c>
      <c r="D10" s="24">
        <v>18</v>
      </c>
      <c r="E10" s="24">
        <v>6</v>
      </c>
      <c r="F10" s="24">
        <v>2026</v>
      </c>
      <c r="G10" s="24" t="s">
        <v>89</v>
      </c>
      <c r="H10" s="25" t="s">
        <v>130</v>
      </c>
      <c r="I10" s="26" t="s">
        <v>131</v>
      </c>
      <c r="J10" s="26" t="s">
        <v>131</v>
      </c>
      <c r="K10" s="24" t="s">
        <v>92</v>
      </c>
      <c r="L10" s="24" t="s">
        <v>93</v>
      </c>
      <c r="M10" s="24" t="s">
        <v>94</v>
      </c>
      <c r="N10" s="24">
        <v>366282160</v>
      </c>
      <c r="O10" s="26"/>
      <c r="P10" s="26"/>
      <c r="Q10" s="26"/>
      <c r="R10" s="26"/>
      <c r="S10" s="27" t="str">
        <f t="shared" ref="S10:U10" si="10">IF(V10&gt;0,"Có","Không")</f>
        <v>Không</v>
      </c>
      <c r="T10" s="27" t="str">
        <f t="shared" si="10"/>
        <v>Không</v>
      </c>
      <c r="U10" s="27" t="str">
        <f t="shared" si="10"/>
        <v>Không</v>
      </c>
      <c r="V10" s="29"/>
      <c r="W10" s="29"/>
      <c r="X10" s="29"/>
      <c r="Y10" s="29"/>
      <c r="Z10" s="27" t="str">
        <f t="shared" si="7"/>
        <v>Không thực hiện</v>
      </c>
      <c r="AA10" s="31" t="e">
        <f t="shared" ca="1" si="2"/>
        <v>#NAME?</v>
      </c>
      <c r="AB10" s="38" t="s">
        <v>132</v>
      </c>
    </row>
    <row r="11" spans="1:29" ht="17" x14ac:dyDescent="0.2">
      <c r="A11" s="42">
        <v>10</v>
      </c>
      <c r="B11" s="24" t="s">
        <v>110</v>
      </c>
      <c r="C11" s="24" t="s">
        <v>88</v>
      </c>
      <c r="D11" s="24">
        <v>11</v>
      </c>
      <c r="E11" s="24">
        <v>6</v>
      </c>
      <c r="F11" s="24">
        <v>2026</v>
      </c>
      <c r="G11" s="24" t="s">
        <v>89</v>
      </c>
      <c r="H11" s="25" t="s">
        <v>133</v>
      </c>
      <c r="I11" s="26" t="s">
        <v>134</v>
      </c>
      <c r="J11" s="26" t="s">
        <v>134</v>
      </c>
      <c r="K11" s="24" t="s">
        <v>92</v>
      </c>
      <c r="L11" s="24" t="s">
        <v>93</v>
      </c>
      <c r="M11" s="24" t="s">
        <v>94</v>
      </c>
      <c r="N11" s="24">
        <v>366282160</v>
      </c>
      <c r="O11" s="26"/>
      <c r="P11" s="26"/>
      <c r="Q11" s="26"/>
      <c r="R11" s="26"/>
      <c r="S11" s="27" t="str">
        <f t="shared" ref="S11:U11" si="11">IF(V11&gt;0,"Có","Không")</f>
        <v>Không</v>
      </c>
      <c r="T11" s="27" t="str">
        <f t="shared" si="11"/>
        <v>Không</v>
      </c>
      <c r="U11" s="27" t="str">
        <f t="shared" si="11"/>
        <v>Không</v>
      </c>
      <c r="V11" s="29"/>
      <c r="W11" s="29"/>
      <c r="X11" s="29"/>
      <c r="Y11" s="29"/>
      <c r="Z11" s="27" t="str">
        <f t="shared" si="7"/>
        <v>Không thực hiện</v>
      </c>
      <c r="AA11" s="31" t="e">
        <f t="shared" ca="1" si="2"/>
        <v>#NAME?</v>
      </c>
      <c r="AB11" s="38" t="s">
        <v>135</v>
      </c>
    </row>
    <row r="12" spans="1:29" ht="17" x14ac:dyDescent="0.2">
      <c r="A12" s="42">
        <v>11</v>
      </c>
      <c r="B12" s="24" t="s">
        <v>110</v>
      </c>
      <c r="C12" s="24" t="s">
        <v>88</v>
      </c>
      <c r="D12" s="24">
        <v>25</v>
      </c>
      <c r="E12" s="24">
        <v>6</v>
      </c>
      <c r="F12" s="24">
        <v>2026</v>
      </c>
      <c r="G12" s="24" t="s">
        <v>89</v>
      </c>
      <c r="H12" s="25" t="s">
        <v>136</v>
      </c>
      <c r="I12" s="26" t="s">
        <v>137</v>
      </c>
      <c r="J12" s="26" t="s">
        <v>137</v>
      </c>
      <c r="K12" s="24" t="s">
        <v>92</v>
      </c>
      <c r="L12" s="24" t="s">
        <v>93</v>
      </c>
      <c r="M12" s="24" t="s">
        <v>94</v>
      </c>
      <c r="N12" s="24">
        <v>366282160</v>
      </c>
      <c r="O12" s="36"/>
      <c r="P12" s="26"/>
      <c r="Q12" s="26"/>
      <c r="R12" s="26"/>
      <c r="S12" s="37"/>
      <c r="T12" s="37"/>
      <c r="U12" s="37"/>
      <c r="V12" s="29"/>
      <c r="W12" s="29"/>
      <c r="X12" s="29"/>
      <c r="Y12" s="29"/>
      <c r="Z12" s="37"/>
      <c r="AA12" s="31" t="e">
        <f t="shared" ca="1" si="2"/>
        <v>#NAME?</v>
      </c>
      <c r="AB12" s="38"/>
    </row>
    <row r="13" spans="1:29" ht="17" x14ac:dyDescent="0.2">
      <c r="A13" s="42">
        <v>12</v>
      </c>
      <c r="B13" s="24" t="s">
        <v>110</v>
      </c>
      <c r="C13" s="24" t="s">
        <v>88</v>
      </c>
      <c r="D13" s="24">
        <v>2</v>
      </c>
      <c r="E13" s="24">
        <v>7</v>
      </c>
      <c r="F13" s="24">
        <v>2026</v>
      </c>
      <c r="G13" s="24" t="s">
        <v>89</v>
      </c>
      <c r="H13" s="25" t="s">
        <v>138</v>
      </c>
      <c r="I13" s="26" t="s">
        <v>139</v>
      </c>
      <c r="J13" s="26" t="s">
        <v>139</v>
      </c>
      <c r="K13" s="24" t="s">
        <v>92</v>
      </c>
      <c r="L13" s="24" t="s">
        <v>93</v>
      </c>
      <c r="M13" s="24" t="s">
        <v>94</v>
      </c>
      <c r="N13" s="24">
        <v>366282160</v>
      </c>
      <c r="O13" s="36"/>
      <c r="P13" s="26"/>
      <c r="Q13" s="26"/>
      <c r="R13" s="26"/>
      <c r="S13" s="37"/>
      <c r="T13" s="37"/>
      <c r="U13" s="37"/>
      <c r="V13" s="29"/>
      <c r="W13" s="29"/>
      <c r="X13" s="29"/>
      <c r="Y13" s="29"/>
      <c r="Z13" s="37"/>
      <c r="AA13" s="31" t="e">
        <f t="shared" ca="1" si="2"/>
        <v>#NAME?</v>
      </c>
      <c r="AB13" s="38"/>
    </row>
    <row r="14" spans="1:29" ht="17" x14ac:dyDescent="0.2">
      <c r="A14" s="42">
        <v>13</v>
      </c>
      <c r="B14" s="24" t="s">
        <v>110</v>
      </c>
      <c r="C14" s="24" t="s">
        <v>88</v>
      </c>
      <c r="D14" s="24">
        <v>9</v>
      </c>
      <c r="E14" s="24">
        <v>7</v>
      </c>
      <c r="F14" s="24">
        <v>2026</v>
      </c>
      <c r="G14" s="24" t="s">
        <v>89</v>
      </c>
      <c r="H14" s="40" t="s">
        <v>140</v>
      </c>
      <c r="I14" s="26" t="s">
        <v>141</v>
      </c>
      <c r="J14" s="26" t="s">
        <v>141</v>
      </c>
      <c r="K14" s="24" t="s">
        <v>92</v>
      </c>
      <c r="L14" s="24" t="s">
        <v>93</v>
      </c>
      <c r="M14" s="24" t="s">
        <v>94</v>
      </c>
      <c r="N14" s="24">
        <v>366282160</v>
      </c>
      <c r="O14" s="36"/>
      <c r="P14" s="26"/>
      <c r="Q14" s="26"/>
      <c r="R14" s="26"/>
      <c r="S14" s="37"/>
      <c r="T14" s="37"/>
      <c r="U14" s="37"/>
      <c r="V14" s="29"/>
      <c r="W14" s="29"/>
      <c r="X14" s="29"/>
      <c r="Y14" s="29"/>
      <c r="Z14" s="37"/>
      <c r="AA14" s="31" t="e">
        <f t="shared" ca="1" si="2"/>
        <v>#NAME?</v>
      </c>
      <c r="AB14" s="38"/>
    </row>
    <row r="15" spans="1:29" ht="34" x14ac:dyDescent="0.2">
      <c r="A15" s="42">
        <v>14</v>
      </c>
      <c r="B15" s="24" t="s">
        <v>110</v>
      </c>
      <c r="C15" s="24" t="s">
        <v>88</v>
      </c>
      <c r="D15" s="24">
        <v>16</v>
      </c>
      <c r="E15" s="24">
        <v>7</v>
      </c>
      <c r="F15" s="24">
        <v>2026</v>
      </c>
      <c r="G15" s="24" t="s">
        <v>89</v>
      </c>
      <c r="H15" s="25" t="s">
        <v>142</v>
      </c>
      <c r="I15" s="26" t="s">
        <v>143</v>
      </c>
      <c r="J15" s="26" t="s">
        <v>143</v>
      </c>
      <c r="K15" s="24" t="s">
        <v>92</v>
      </c>
      <c r="L15" s="24" t="s">
        <v>93</v>
      </c>
      <c r="M15" s="24" t="s">
        <v>94</v>
      </c>
      <c r="N15" s="24">
        <v>366282160</v>
      </c>
      <c r="O15" s="36"/>
      <c r="P15" s="26"/>
      <c r="Q15" s="26"/>
      <c r="R15" s="26"/>
      <c r="S15" s="37"/>
      <c r="T15" s="37"/>
      <c r="U15" s="37"/>
      <c r="V15" s="29"/>
      <c r="W15" s="29"/>
      <c r="X15" s="29"/>
      <c r="Y15" s="29"/>
      <c r="Z15" s="37"/>
      <c r="AA15" s="31" t="e">
        <f t="shared" ca="1" si="2"/>
        <v>#NAME?</v>
      </c>
      <c r="AB15" s="38"/>
    </row>
    <row r="16" spans="1:29" ht="17" x14ac:dyDescent="0.2">
      <c r="A16" s="42">
        <v>15</v>
      </c>
      <c r="B16" s="24" t="s">
        <v>110</v>
      </c>
      <c r="C16" s="24" t="s">
        <v>88</v>
      </c>
      <c r="D16" s="24">
        <v>23</v>
      </c>
      <c r="E16" s="24">
        <v>7</v>
      </c>
      <c r="F16" s="24">
        <v>2026</v>
      </c>
      <c r="G16" s="24" t="s">
        <v>89</v>
      </c>
      <c r="H16" s="25" t="s">
        <v>144</v>
      </c>
      <c r="I16" s="26" t="s">
        <v>145</v>
      </c>
      <c r="J16" s="26" t="s">
        <v>145</v>
      </c>
      <c r="K16" s="24" t="s">
        <v>92</v>
      </c>
      <c r="L16" s="24" t="s">
        <v>93</v>
      </c>
      <c r="M16" s="24" t="s">
        <v>94</v>
      </c>
      <c r="N16" s="24">
        <v>366282160</v>
      </c>
      <c r="O16" s="26"/>
      <c r="P16" s="26"/>
      <c r="Q16" s="26"/>
      <c r="R16" s="26"/>
      <c r="S16" s="27" t="str">
        <f t="shared" ref="S16:U16" si="12">IF(V16&gt;0,"Có","Không")</f>
        <v>Không</v>
      </c>
      <c r="T16" s="27" t="str">
        <f t="shared" si="12"/>
        <v>Không</v>
      </c>
      <c r="U16" s="27" t="str">
        <f t="shared" si="12"/>
        <v>Không</v>
      </c>
      <c r="V16" s="29"/>
      <c r="W16" s="29"/>
      <c r="X16" s="29"/>
      <c r="Y16" s="29"/>
      <c r="Z16" s="27" t="str">
        <f t="shared" ref="Z16:Z40" si="13">IF(COUNTA(V16:X16)&gt;0,"Thực hiện","Không thực hiện")</f>
        <v>Không thực hiện</v>
      </c>
      <c r="AA16" s="31" t="e">
        <f t="shared" ca="1" si="2"/>
        <v>#NAME?</v>
      </c>
      <c r="AB16" s="38"/>
    </row>
    <row r="17" spans="1:28" ht="34" x14ac:dyDescent="0.2">
      <c r="A17" s="42">
        <v>16</v>
      </c>
      <c r="B17" s="24" t="s">
        <v>110</v>
      </c>
      <c r="C17" s="24" t="s">
        <v>88</v>
      </c>
      <c r="D17" s="24">
        <v>30</v>
      </c>
      <c r="E17" s="24">
        <v>7</v>
      </c>
      <c r="F17" s="24">
        <v>2026</v>
      </c>
      <c r="G17" s="24" t="s">
        <v>89</v>
      </c>
      <c r="H17" s="25" t="s">
        <v>146</v>
      </c>
      <c r="I17" s="26" t="s">
        <v>147</v>
      </c>
      <c r="J17" s="26" t="s">
        <v>147</v>
      </c>
      <c r="K17" s="24" t="s">
        <v>92</v>
      </c>
      <c r="L17" s="24" t="s">
        <v>93</v>
      </c>
      <c r="M17" s="24" t="s">
        <v>94</v>
      </c>
      <c r="N17" s="24">
        <v>366282160</v>
      </c>
      <c r="O17" s="26"/>
      <c r="P17" s="26"/>
      <c r="Q17" s="26"/>
      <c r="R17" s="26"/>
      <c r="S17" s="27" t="str">
        <f t="shared" ref="S17:U17" si="14">IF(V17&gt;0,"Có","Không")</f>
        <v>Không</v>
      </c>
      <c r="T17" s="27" t="str">
        <f t="shared" si="14"/>
        <v>Không</v>
      </c>
      <c r="U17" s="27" t="str">
        <f t="shared" si="14"/>
        <v>Không</v>
      </c>
      <c r="V17" s="29"/>
      <c r="W17" s="29"/>
      <c r="X17" s="29"/>
      <c r="Y17" s="29"/>
      <c r="Z17" s="27" t="str">
        <f t="shared" si="13"/>
        <v>Không thực hiện</v>
      </c>
      <c r="AA17" s="31" t="e">
        <f t="shared" ca="1" si="2"/>
        <v>#NAME?</v>
      </c>
      <c r="AB17" s="38"/>
    </row>
    <row r="18" spans="1:28" ht="17" x14ac:dyDescent="0.2">
      <c r="A18" s="42">
        <v>17</v>
      </c>
      <c r="B18" s="24" t="s">
        <v>110</v>
      </c>
      <c r="C18" s="24" t="s">
        <v>88</v>
      </c>
      <c r="D18" s="24">
        <v>6</v>
      </c>
      <c r="E18" s="24">
        <v>8</v>
      </c>
      <c r="F18" s="24">
        <v>2026</v>
      </c>
      <c r="G18" s="24" t="s">
        <v>89</v>
      </c>
      <c r="H18" s="25" t="s">
        <v>148</v>
      </c>
      <c r="I18" s="26" t="s">
        <v>94</v>
      </c>
      <c r="J18" s="26" t="s">
        <v>94</v>
      </c>
      <c r="K18" s="24" t="s">
        <v>92</v>
      </c>
      <c r="L18" s="24" t="s">
        <v>93</v>
      </c>
      <c r="M18" s="24" t="s">
        <v>94</v>
      </c>
      <c r="N18" s="24">
        <v>366282160</v>
      </c>
      <c r="O18" s="26"/>
      <c r="P18" s="26"/>
      <c r="Q18" s="26"/>
      <c r="R18" s="26"/>
      <c r="S18" s="27" t="str">
        <f t="shared" ref="S18:U18" si="15">IF(V18&gt;0,"Có","Không")</f>
        <v>Không</v>
      </c>
      <c r="T18" s="27" t="str">
        <f t="shared" si="15"/>
        <v>Không</v>
      </c>
      <c r="U18" s="27" t="str">
        <f t="shared" si="15"/>
        <v>Không</v>
      </c>
      <c r="V18" s="29"/>
      <c r="W18" s="29"/>
      <c r="X18" s="29"/>
      <c r="Y18" s="29"/>
      <c r="Z18" s="27" t="str">
        <f t="shared" si="13"/>
        <v>Không thực hiện</v>
      </c>
      <c r="AA18" s="31" t="e">
        <f t="shared" ca="1" si="2"/>
        <v>#NAME?</v>
      </c>
      <c r="AB18" s="38"/>
    </row>
    <row r="19" spans="1:28" ht="17" x14ac:dyDescent="0.2">
      <c r="A19" s="42">
        <v>18</v>
      </c>
      <c r="B19" s="24" t="s">
        <v>110</v>
      </c>
      <c r="C19" s="24" t="s">
        <v>88</v>
      </c>
      <c r="D19" s="24">
        <v>13</v>
      </c>
      <c r="E19" s="24">
        <v>8</v>
      </c>
      <c r="F19" s="24">
        <v>2026</v>
      </c>
      <c r="G19" s="24" t="s">
        <v>89</v>
      </c>
      <c r="H19" s="25" t="s">
        <v>149</v>
      </c>
      <c r="I19" s="26" t="s">
        <v>150</v>
      </c>
      <c r="J19" s="26" t="s">
        <v>150</v>
      </c>
      <c r="K19" s="24" t="s">
        <v>92</v>
      </c>
      <c r="L19" s="24" t="s">
        <v>93</v>
      </c>
      <c r="M19" s="24" t="s">
        <v>94</v>
      </c>
      <c r="N19" s="24">
        <v>366282160</v>
      </c>
      <c r="O19" s="26"/>
      <c r="P19" s="26"/>
      <c r="Q19" s="26"/>
      <c r="R19" s="26"/>
      <c r="S19" s="27" t="str">
        <f t="shared" ref="S19:U19" si="16">IF(V19&gt;0,"Có","Không")</f>
        <v>Không</v>
      </c>
      <c r="T19" s="27" t="str">
        <f t="shared" si="16"/>
        <v>Không</v>
      </c>
      <c r="U19" s="27" t="str">
        <f t="shared" si="16"/>
        <v>Không</v>
      </c>
      <c r="V19" s="29"/>
      <c r="W19" s="29"/>
      <c r="X19" s="29"/>
      <c r="Y19" s="29"/>
      <c r="Z19" s="27" t="str">
        <f t="shared" si="13"/>
        <v>Không thực hiện</v>
      </c>
      <c r="AA19" s="31" t="e">
        <f t="shared" ca="1" si="2"/>
        <v>#NAME?</v>
      </c>
      <c r="AB19" s="38"/>
    </row>
    <row r="20" spans="1:28" ht="17" x14ac:dyDescent="0.2">
      <c r="A20" s="42">
        <v>19</v>
      </c>
      <c r="B20" s="24" t="s">
        <v>110</v>
      </c>
      <c r="C20" s="24" t="s">
        <v>88</v>
      </c>
      <c r="D20" s="24">
        <v>20</v>
      </c>
      <c r="E20" s="24">
        <v>8</v>
      </c>
      <c r="F20" s="24">
        <v>2026</v>
      </c>
      <c r="G20" s="24" t="s">
        <v>89</v>
      </c>
      <c r="H20" s="25" t="s">
        <v>151</v>
      </c>
      <c r="I20" s="26" t="s">
        <v>101</v>
      </c>
      <c r="J20" s="26" t="s">
        <v>101</v>
      </c>
      <c r="K20" s="24" t="s">
        <v>92</v>
      </c>
      <c r="L20" s="24" t="s">
        <v>93</v>
      </c>
      <c r="M20" s="24" t="s">
        <v>94</v>
      </c>
      <c r="N20" s="24">
        <v>366282160</v>
      </c>
      <c r="O20" s="36"/>
      <c r="P20" s="26"/>
      <c r="Q20" s="26"/>
      <c r="R20" s="26"/>
      <c r="S20" s="27" t="str">
        <f t="shared" ref="S20:U20" si="17">IF(V20&gt;0,"Có","Không")</f>
        <v>Không</v>
      </c>
      <c r="T20" s="27" t="str">
        <f t="shared" si="17"/>
        <v>Không</v>
      </c>
      <c r="U20" s="27" t="str">
        <f t="shared" si="17"/>
        <v>Không</v>
      </c>
      <c r="V20" s="29"/>
      <c r="W20" s="29"/>
      <c r="X20" s="29"/>
      <c r="Y20" s="29"/>
      <c r="Z20" s="27" t="str">
        <f t="shared" si="13"/>
        <v>Không thực hiện</v>
      </c>
      <c r="AA20" s="31" t="e">
        <f t="shared" ca="1" si="2"/>
        <v>#NAME?</v>
      </c>
      <c r="AB20" s="38"/>
    </row>
    <row r="21" spans="1:28" ht="17" x14ac:dyDescent="0.2">
      <c r="A21" s="42">
        <v>20</v>
      </c>
      <c r="B21" s="24" t="s">
        <v>110</v>
      </c>
      <c r="C21" s="24" t="s">
        <v>88</v>
      </c>
      <c r="D21" s="24">
        <v>27</v>
      </c>
      <c r="E21" s="24">
        <v>8</v>
      </c>
      <c r="F21" s="24">
        <v>2026</v>
      </c>
      <c r="G21" s="24" t="s">
        <v>89</v>
      </c>
      <c r="H21" s="25" t="s">
        <v>152</v>
      </c>
      <c r="I21" s="26" t="s">
        <v>153</v>
      </c>
      <c r="J21" s="26" t="s">
        <v>153</v>
      </c>
      <c r="K21" s="24" t="s">
        <v>92</v>
      </c>
      <c r="L21" s="24" t="s">
        <v>93</v>
      </c>
      <c r="M21" s="24" t="s">
        <v>94</v>
      </c>
      <c r="N21" s="24">
        <v>366282160</v>
      </c>
      <c r="O21" s="36"/>
      <c r="P21" s="26"/>
      <c r="Q21" s="26"/>
      <c r="R21" s="26"/>
      <c r="S21" s="27" t="str">
        <f t="shared" ref="S21:U21" si="18">IF(V21&gt;0,"Có","Không")</f>
        <v>Không</v>
      </c>
      <c r="T21" s="27" t="str">
        <f t="shared" si="18"/>
        <v>Không</v>
      </c>
      <c r="U21" s="27" t="str">
        <f t="shared" si="18"/>
        <v>Không</v>
      </c>
      <c r="V21" s="29"/>
      <c r="W21" s="29"/>
      <c r="X21" s="29"/>
      <c r="Y21" s="29"/>
      <c r="Z21" s="27" t="str">
        <f t="shared" si="13"/>
        <v>Không thực hiện</v>
      </c>
      <c r="AA21" s="31" t="e">
        <f t="shared" ca="1" si="2"/>
        <v>#NAME?</v>
      </c>
      <c r="AB21" s="38"/>
    </row>
    <row r="22" spans="1:28" ht="17" x14ac:dyDescent="0.2">
      <c r="A22" s="42">
        <v>21</v>
      </c>
      <c r="B22" s="24" t="s">
        <v>103</v>
      </c>
      <c r="C22" s="24" t="s">
        <v>88</v>
      </c>
      <c r="D22" s="24">
        <v>29</v>
      </c>
      <c r="E22" s="24">
        <v>8</v>
      </c>
      <c r="F22" s="24">
        <v>2026</v>
      </c>
      <c r="G22" s="24" t="s">
        <v>89</v>
      </c>
      <c r="H22" s="40" t="s">
        <v>154</v>
      </c>
      <c r="I22" s="39" t="s">
        <v>141</v>
      </c>
      <c r="J22" s="39" t="s">
        <v>141</v>
      </c>
      <c r="K22" s="24" t="s">
        <v>92</v>
      </c>
      <c r="L22" s="24" t="s">
        <v>93</v>
      </c>
      <c r="M22" s="24" t="s">
        <v>94</v>
      </c>
      <c r="N22" s="24">
        <v>366282160</v>
      </c>
      <c r="O22" s="36"/>
      <c r="P22" s="26"/>
      <c r="Q22" s="26"/>
      <c r="R22" s="26"/>
      <c r="S22" s="27" t="str">
        <f t="shared" ref="S22:U22" si="19">IF(V22&gt;0,"Có","Không")</f>
        <v>Không</v>
      </c>
      <c r="T22" s="27" t="str">
        <f t="shared" si="19"/>
        <v>Không</v>
      </c>
      <c r="U22" s="27" t="str">
        <f t="shared" si="19"/>
        <v>Không</v>
      </c>
      <c r="V22" s="29"/>
      <c r="W22" s="29"/>
      <c r="X22" s="29"/>
      <c r="Y22" s="29"/>
      <c r="Z22" s="27" t="str">
        <f t="shared" si="13"/>
        <v>Không thực hiện</v>
      </c>
      <c r="AA22" s="31" t="e">
        <f t="shared" ca="1" si="2"/>
        <v>#NAME?</v>
      </c>
      <c r="AB22" s="38"/>
    </row>
    <row r="23" spans="1:28" ht="17" x14ac:dyDescent="0.2">
      <c r="A23" s="42">
        <v>22</v>
      </c>
      <c r="B23" s="24" t="s">
        <v>110</v>
      </c>
      <c r="C23" s="24" t="s">
        <v>88</v>
      </c>
      <c r="D23" s="24">
        <v>3</v>
      </c>
      <c r="E23" s="24">
        <v>9</v>
      </c>
      <c r="F23" s="24">
        <v>2026</v>
      </c>
      <c r="G23" s="24" t="s">
        <v>89</v>
      </c>
      <c r="H23" s="40" t="s">
        <v>155</v>
      </c>
      <c r="I23" s="39" t="s">
        <v>121</v>
      </c>
      <c r="J23" s="39" t="s">
        <v>121</v>
      </c>
      <c r="K23" s="24" t="s">
        <v>92</v>
      </c>
      <c r="L23" s="24" t="s">
        <v>93</v>
      </c>
      <c r="M23" s="24" t="s">
        <v>94</v>
      </c>
      <c r="N23" s="24">
        <v>366282160</v>
      </c>
      <c r="O23" s="36"/>
      <c r="P23" s="26"/>
      <c r="Q23" s="26"/>
      <c r="R23" s="26"/>
      <c r="S23" s="27" t="str">
        <f t="shared" ref="S23:U23" si="20">IF(V23&gt;0,"Có","Không")</f>
        <v>Không</v>
      </c>
      <c r="T23" s="27" t="str">
        <f t="shared" si="20"/>
        <v>Không</v>
      </c>
      <c r="U23" s="27" t="str">
        <f t="shared" si="20"/>
        <v>Không</v>
      </c>
      <c r="V23" s="29"/>
      <c r="W23" s="29"/>
      <c r="X23" s="29"/>
      <c r="Y23" s="29"/>
      <c r="Z23" s="27" t="str">
        <f t="shared" si="13"/>
        <v>Không thực hiện</v>
      </c>
      <c r="AA23" s="31" t="e">
        <f t="shared" ca="1" si="2"/>
        <v>#NAME?</v>
      </c>
      <c r="AB23" s="38"/>
    </row>
    <row r="24" spans="1:28" ht="17" x14ac:dyDescent="0.2">
      <c r="A24" s="42">
        <v>23</v>
      </c>
      <c r="B24" s="24" t="s">
        <v>110</v>
      </c>
      <c r="C24" s="24" t="s">
        <v>88</v>
      </c>
      <c r="D24" s="24">
        <v>10</v>
      </c>
      <c r="E24" s="24">
        <v>9</v>
      </c>
      <c r="F24" s="24">
        <v>2026</v>
      </c>
      <c r="G24" s="24" t="s">
        <v>89</v>
      </c>
      <c r="H24" s="25" t="s">
        <v>156</v>
      </c>
      <c r="I24" s="26" t="s">
        <v>157</v>
      </c>
      <c r="J24" s="26" t="s">
        <v>157</v>
      </c>
      <c r="K24" s="24" t="s">
        <v>92</v>
      </c>
      <c r="L24" s="24" t="s">
        <v>93</v>
      </c>
      <c r="M24" s="24" t="s">
        <v>94</v>
      </c>
      <c r="N24" s="24">
        <v>366282160</v>
      </c>
      <c r="O24" s="36"/>
      <c r="P24" s="26"/>
      <c r="Q24" s="26"/>
      <c r="R24" s="26"/>
      <c r="S24" s="27" t="str">
        <f t="shared" ref="S24:U24" si="21">IF(V24&gt;0,"Có","Không")</f>
        <v>Không</v>
      </c>
      <c r="T24" s="27" t="str">
        <f t="shared" si="21"/>
        <v>Không</v>
      </c>
      <c r="U24" s="27" t="str">
        <f t="shared" si="21"/>
        <v>Không</v>
      </c>
      <c r="V24" s="29"/>
      <c r="W24" s="29"/>
      <c r="X24" s="29"/>
      <c r="Y24" s="29"/>
      <c r="Z24" s="27" t="str">
        <f t="shared" si="13"/>
        <v>Không thực hiện</v>
      </c>
      <c r="AA24" s="31" t="e">
        <f t="shared" ca="1" si="2"/>
        <v>#NAME?</v>
      </c>
      <c r="AB24" s="38"/>
    </row>
    <row r="25" spans="1:28" ht="17" x14ac:dyDescent="0.2">
      <c r="A25" s="42">
        <v>24</v>
      </c>
      <c r="B25" s="24" t="s">
        <v>110</v>
      </c>
      <c r="C25" s="24" t="s">
        <v>88</v>
      </c>
      <c r="D25" s="24">
        <v>17</v>
      </c>
      <c r="E25" s="24">
        <v>9</v>
      </c>
      <c r="F25" s="24">
        <v>2026</v>
      </c>
      <c r="G25" s="24" t="s">
        <v>89</v>
      </c>
      <c r="H25" s="25" t="s">
        <v>158</v>
      </c>
      <c r="I25" s="26" t="s">
        <v>159</v>
      </c>
      <c r="J25" s="26" t="s">
        <v>159</v>
      </c>
      <c r="K25" s="24" t="s">
        <v>92</v>
      </c>
      <c r="L25" s="24" t="s">
        <v>93</v>
      </c>
      <c r="M25" s="24" t="s">
        <v>94</v>
      </c>
      <c r="N25" s="24">
        <v>366282160</v>
      </c>
      <c r="O25" s="36"/>
      <c r="P25" s="26"/>
      <c r="Q25" s="26"/>
      <c r="R25" s="26"/>
      <c r="S25" s="27" t="str">
        <f t="shared" ref="S25:U25" si="22">IF(V25&gt;0,"Có","Không")</f>
        <v>Không</v>
      </c>
      <c r="T25" s="27" t="str">
        <f t="shared" si="22"/>
        <v>Không</v>
      </c>
      <c r="U25" s="27" t="str">
        <f t="shared" si="22"/>
        <v>Không</v>
      </c>
      <c r="V25" s="29"/>
      <c r="W25" s="29"/>
      <c r="X25" s="29"/>
      <c r="Y25" s="29"/>
      <c r="Z25" s="27" t="str">
        <f t="shared" si="13"/>
        <v>Không thực hiện</v>
      </c>
      <c r="AA25" s="31" t="e">
        <f t="shared" ca="1" si="2"/>
        <v>#NAME?</v>
      </c>
      <c r="AB25" s="38"/>
    </row>
    <row r="26" spans="1:28" ht="17" x14ac:dyDescent="0.2">
      <c r="A26" s="42">
        <v>25</v>
      </c>
      <c r="B26" s="24" t="s">
        <v>110</v>
      </c>
      <c r="C26" s="24" t="s">
        <v>88</v>
      </c>
      <c r="D26" s="24">
        <v>24</v>
      </c>
      <c r="E26" s="24">
        <v>9</v>
      </c>
      <c r="F26" s="24">
        <v>2026</v>
      </c>
      <c r="G26" s="24" t="s">
        <v>89</v>
      </c>
      <c r="H26" s="25" t="s">
        <v>160</v>
      </c>
      <c r="I26" s="26" t="s">
        <v>161</v>
      </c>
      <c r="J26" s="26" t="s">
        <v>161</v>
      </c>
      <c r="K26" s="24" t="s">
        <v>92</v>
      </c>
      <c r="L26" s="24" t="s">
        <v>93</v>
      </c>
      <c r="M26" s="24" t="s">
        <v>94</v>
      </c>
      <c r="N26" s="24">
        <v>366282160</v>
      </c>
      <c r="O26" s="36"/>
      <c r="P26" s="26"/>
      <c r="Q26" s="26"/>
      <c r="R26" s="26"/>
      <c r="S26" s="27" t="str">
        <f t="shared" ref="S26:U26" si="23">IF(V26&gt;0,"Có","Không")</f>
        <v>Không</v>
      </c>
      <c r="T26" s="27" t="str">
        <f t="shared" si="23"/>
        <v>Không</v>
      </c>
      <c r="U26" s="27" t="str">
        <f t="shared" si="23"/>
        <v>Không</v>
      </c>
      <c r="V26" s="29"/>
      <c r="W26" s="29"/>
      <c r="X26" s="29"/>
      <c r="Y26" s="29"/>
      <c r="Z26" s="27" t="str">
        <f t="shared" si="13"/>
        <v>Không thực hiện</v>
      </c>
      <c r="AA26" s="31" t="e">
        <f t="shared" ca="1" si="2"/>
        <v>#NAME?</v>
      </c>
      <c r="AB26" s="38"/>
    </row>
    <row r="27" spans="1:28" ht="17" x14ac:dyDescent="0.2">
      <c r="A27" s="42">
        <v>26</v>
      </c>
      <c r="B27" s="24" t="s">
        <v>110</v>
      </c>
      <c r="C27" s="24" t="s">
        <v>88</v>
      </c>
      <c r="D27" s="24">
        <v>1</v>
      </c>
      <c r="E27" s="24">
        <v>10</v>
      </c>
      <c r="F27" s="24">
        <v>2026</v>
      </c>
      <c r="G27" s="24" t="s">
        <v>89</v>
      </c>
      <c r="H27" s="25" t="s">
        <v>162</v>
      </c>
      <c r="I27" s="26" t="s">
        <v>131</v>
      </c>
      <c r="J27" s="26" t="s">
        <v>131</v>
      </c>
      <c r="K27" s="24" t="s">
        <v>92</v>
      </c>
      <c r="L27" s="24" t="s">
        <v>93</v>
      </c>
      <c r="M27" s="24" t="s">
        <v>94</v>
      </c>
      <c r="N27" s="24">
        <v>366282160</v>
      </c>
      <c r="O27" s="36"/>
      <c r="P27" s="26"/>
      <c r="Q27" s="26"/>
      <c r="R27" s="26"/>
      <c r="S27" s="27" t="str">
        <f t="shared" ref="S27:U27" si="24">IF(V27&gt;0,"Có","Không")</f>
        <v>Không</v>
      </c>
      <c r="T27" s="27" t="str">
        <f t="shared" si="24"/>
        <v>Không</v>
      </c>
      <c r="U27" s="27" t="str">
        <f t="shared" si="24"/>
        <v>Không</v>
      </c>
      <c r="V27" s="29"/>
      <c r="W27" s="29"/>
      <c r="X27" s="29"/>
      <c r="Y27" s="29"/>
      <c r="Z27" s="27" t="str">
        <f t="shared" si="13"/>
        <v>Không thực hiện</v>
      </c>
      <c r="AA27" s="31" t="e">
        <f t="shared" ca="1" si="2"/>
        <v>#NAME?</v>
      </c>
      <c r="AB27" s="38"/>
    </row>
    <row r="28" spans="1:28" ht="17" x14ac:dyDescent="0.2">
      <c r="A28" s="42">
        <v>27</v>
      </c>
      <c r="B28" s="24" t="s">
        <v>110</v>
      </c>
      <c r="C28" s="24" t="s">
        <v>88</v>
      </c>
      <c r="D28" s="24">
        <v>8</v>
      </c>
      <c r="E28" s="24">
        <v>10</v>
      </c>
      <c r="F28" s="24">
        <v>2026</v>
      </c>
      <c r="G28" s="24" t="s">
        <v>89</v>
      </c>
      <c r="H28" s="25" t="s">
        <v>163</v>
      </c>
      <c r="I28" s="26" t="s">
        <v>164</v>
      </c>
      <c r="J28" s="26" t="s">
        <v>164</v>
      </c>
      <c r="K28" s="24" t="s">
        <v>92</v>
      </c>
      <c r="L28" s="24" t="s">
        <v>93</v>
      </c>
      <c r="M28" s="24" t="s">
        <v>94</v>
      </c>
      <c r="N28" s="24">
        <v>366282160</v>
      </c>
      <c r="O28" s="36"/>
      <c r="P28" s="26"/>
      <c r="Q28" s="26"/>
      <c r="R28" s="26"/>
      <c r="S28" s="27" t="str">
        <f t="shared" ref="S28:U28" si="25">IF(V28&gt;0,"Có","Không")</f>
        <v>Không</v>
      </c>
      <c r="T28" s="27" t="str">
        <f t="shared" si="25"/>
        <v>Không</v>
      </c>
      <c r="U28" s="27" t="str">
        <f t="shared" si="25"/>
        <v>Không</v>
      </c>
      <c r="V28" s="29"/>
      <c r="W28" s="29"/>
      <c r="X28" s="29"/>
      <c r="Y28" s="29"/>
      <c r="Z28" s="27" t="str">
        <f t="shared" si="13"/>
        <v>Không thực hiện</v>
      </c>
      <c r="AA28" s="31" t="e">
        <f t="shared" ca="1" si="2"/>
        <v>#NAME?</v>
      </c>
      <c r="AB28" s="38"/>
    </row>
    <row r="29" spans="1:28" ht="17" x14ac:dyDescent="0.2">
      <c r="A29" s="42">
        <v>28</v>
      </c>
      <c r="B29" s="24" t="s">
        <v>110</v>
      </c>
      <c r="C29" s="24" t="s">
        <v>88</v>
      </c>
      <c r="D29" s="24">
        <v>15</v>
      </c>
      <c r="E29" s="24">
        <v>10</v>
      </c>
      <c r="F29" s="24">
        <v>2026</v>
      </c>
      <c r="G29" s="24" t="s">
        <v>89</v>
      </c>
      <c r="H29" s="25" t="s">
        <v>165</v>
      </c>
      <c r="I29" s="39" t="s">
        <v>141</v>
      </c>
      <c r="J29" s="39" t="s">
        <v>141</v>
      </c>
      <c r="K29" s="24" t="s">
        <v>92</v>
      </c>
      <c r="L29" s="24" t="s">
        <v>93</v>
      </c>
      <c r="M29" s="24" t="s">
        <v>94</v>
      </c>
      <c r="N29" s="24">
        <v>366282160</v>
      </c>
      <c r="O29" s="26"/>
      <c r="P29" s="26"/>
      <c r="Q29" s="26"/>
      <c r="R29" s="26"/>
      <c r="S29" s="27" t="str">
        <f t="shared" ref="S29:U29" si="26">IF(V29&gt;0,"Có","Không")</f>
        <v>Không</v>
      </c>
      <c r="T29" s="27" t="str">
        <f t="shared" si="26"/>
        <v>Không</v>
      </c>
      <c r="U29" s="27" t="str">
        <f t="shared" si="26"/>
        <v>Không</v>
      </c>
      <c r="V29" s="29"/>
      <c r="W29" s="29"/>
      <c r="X29" s="29"/>
      <c r="Y29" s="29"/>
      <c r="Z29" s="27" t="str">
        <f t="shared" si="13"/>
        <v>Không thực hiện</v>
      </c>
      <c r="AA29" s="31" t="e">
        <f t="shared" ca="1" si="2"/>
        <v>#NAME?</v>
      </c>
      <c r="AB29" s="38"/>
    </row>
    <row r="30" spans="1:28" ht="17" x14ac:dyDescent="0.2">
      <c r="A30" s="42">
        <v>29</v>
      </c>
      <c r="B30" s="24" t="s">
        <v>110</v>
      </c>
      <c r="C30" s="24" t="s">
        <v>88</v>
      </c>
      <c r="D30" s="24">
        <v>22</v>
      </c>
      <c r="E30" s="24">
        <v>10</v>
      </c>
      <c r="F30" s="24">
        <v>2026</v>
      </c>
      <c r="G30" s="24" t="s">
        <v>89</v>
      </c>
      <c r="H30" s="25" t="s">
        <v>166</v>
      </c>
      <c r="I30" s="26" t="s">
        <v>167</v>
      </c>
      <c r="J30" s="26" t="s">
        <v>167</v>
      </c>
      <c r="K30" s="24" t="s">
        <v>92</v>
      </c>
      <c r="L30" s="24" t="s">
        <v>93</v>
      </c>
      <c r="M30" s="24" t="s">
        <v>94</v>
      </c>
      <c r="N30" s="24">
        <v>366282160</v>
      </c>
      <c r="O30" s="26"/>
      <c r="P30" s="26"/>
      <c r="Q30" s="26"/>
      <c r="R30" s="26"/>
      <c r="S30" s="27" t="str">
        <f t="shared" ref="S30:U30" si="27">IF(V30&gt;0,"Có","Không")</f>
        <v>Không</v>
      </c>
      <c r="T30" s="27" t="str">
        <f t="shared" si="27"/>
        <v>Không</v>
      </c>
      <c r="U30" s="27" t="str">
        <f t="shared" si="27"/>
        <v>Không</v>
      </c>
      <c r="V30" s="29"/>
      <c r="W30" s="29"/>
      <c r="X30" s="29"/>
      <c r="Y30" s="29"/>
      <c r="Z30" s="27" t="str">
        <f t="shared" si="13"/>
        <v>Không thực hiện</v>
      </c>
      <c r="AA30" s="31" t="e">
        <f t="shared" ca="1" si="2"/>
        <v>#NAME?</v>
      </c>
      <c r="AB30" s="38"/>
    </row>
    <row r="31" spans="1:28" ht="17" x14ac:dyDescent="0.2">
      <c r="A31" s="42">
        <v>30</v>
      </c>
      <c r="B31" s="24" t="s">
        <v>110</v>
      </c>
      <c r="C31" s="24" t="s">
        <v>88</v>
      </c>
      <c r="D31" s="24">
        <v>29</v>
      </c>
      <c r="E31" s="24">
        <v>10</v>
      </c>
      <c r="F31" s="24">
        <v>2026</v>
      </c>
      <c r="G31" s="24" t="s">
        <v>89</v>
      </c>
      <c r="H31" s="25" t="s">
        <v>168</v>
      </c>
      <c r="I31" s="39" t="s">
        <v>121</v>
      </c>
      <c r="J31" s="39" t="s">
        <v>121</v>
      </c>
      <c r="K31" s="24" t="s">
        <v>92</v>
      </c>
      <c r="L31" s="24" t="s">
        <v>93</v>
      </c>
      <c r="M31" s="24" t="s">
        <v>94</v>
      </c>
      <c r="N31" s="24">
        <v>366282160</v>
      </c>
      <c r="O31" s="26"/>
      <c r="P31" s="26"/>
      <c r="Q31" s="26"/>
      <c r="R31" s="26"/>
      <c r="S31" s="27" t="str">
        <f t="shared" ref="S31:U31" si="28">IF(V31&gt;0,"Có","Không")</f>
        <v>Không</v>
      </c>
      <c r="T31" s="27" t="str">
        <f t="shared" si="28"/>
        <v>Không</v>
      </c>
      <c r="U31" s="27" t="str">
        <f t="shared" si="28"/>
        <v>Không</v>
      </c>
      <c r="V31" s="29"/>
      <c r="W31" s="29"/>
      <c r="X31" s="29"/>
      <c r="Y31" s="29"/>
      <c r="Z31" s="27" t="str">
        <f t="shared" si="13"/>
        <v>Không thực hiện</v>
      </c>
      <c r="AA31" s="31" t="e">
        <f t="shared" ca="1" si="2"/>
        <v>#NAME?</v>
      </c>
      <c r="AB31" s="38"/>
    </row>
    <row r="32" spans="1:28" ht="17" x14ac:dyDescent="0.2">
      <c r="A32" s="42">
        <v>31</v>
      </c>
      <c r="B32" s="24" t="s">
        <v>110</v>
      </c>
      <c r="C32" s="24" t="s">
        <v>88</v>
      </c>
      <c r="D32" s="24">
        <v>5</v>
      </c>
      <c r="E32" s="24">
        <v>11</v>
      </c>
      <c r="F32" s="24">
        <v>2026</v>
      </c>
      <c r="G32" s="24" t="s">
        <v>89</v>
      </c>
      <c r="H32" s="25" t="s">
        <v>169</v>
      </c>
      <c r="I32" s="26" t="s">
        <v>170</v>
      </c>
      <c r="J32" s="26" t="s">
        <v>170</v>
      </c>
      <c r="K32" s="24" t="s">
        <v>92</v>
      </c>
      <c r="L32" s="24" t="s">
        <v>93</v>
      </c>
      <c r="M32" s="24" t="s">
        <v>94</v>
      </c>
      <c r="N32" s="24">
        <v>366282160</v>
      </c>
      <c r="O32" s="26"/>
      <c r="P32" s="26"/>
      <c r="Q32" s="26"/>
      <c r="R32" s="26"/>
      <c r="S32" s="27" t="str">
        <f t="shared" ref="S32:U32" si="29">IF(V32&gt;0,"Có","Không")</f>
        <v>Không</v>
      </c>
      <c r="T32" s="27" t="str">
        <f t="shared" si="29"/>
        <v>Không</v>
      </c>
      <c r="U32" s="27" t="str">
        <f t="shared" si="29"/>
        <v>Không</v>
      </c>
      <c r="V32" s="29"/>
      <c r="W32" s="29"/>
      <c r="X32" s="29"/>
      <c r="Y32" s="29"/>
      <c r="Z32" s="27" t="str">
        <f t="shared" si="13"/>
        <v>Không thực hiện</v>
      </c>
      <c r="AA32" s="31" t="e">
        <f t="shared" ca="1" si="2"/>
        <v>#NAME?</v>
      </c>
      <c r="AB32" s="38"/>
    </row>
    <row r="33" spans="1:28" ht="17" x14ac:dyDescent="0.2">
      <c r="A33" s="42">
        <v>32</v>
      </c>
      <c r="B33" s="24" t="s">
        <v>110</v>
      </c>
      <c r="C33" s="24" t="s">
        <v>88</v>
      </c>
      <c r="D33" s="24">
        <v>12</v>
      </c>
      <c r="E33" s="24">
        <v>11</v>
      </c>
      <c r="F33" s="24">
        <v>2026</v>
      </c>
      <c r="G33" s="24" t="s">
        <v>89</v>
      </c>
      <c r="H33" s="25" t="s">
        <v>171</v>
      </c>
      <c r="I33" s="26" t="s">
        <v>101</v>
      </c>
      <c r="J33" s="26" t="s">
        <v>101</v>
      </c>
      <c r="K33" s="24" t="s">
        <v>92</v>
      </c>
      <c r="L33" s="24" t="s">
        <v>93</v>
      </c>
      <c r="M33" s="24" t="s">
        <v>94</v>
      </c>
      <c r="N33" s="24">
        <v>366282160</v>
      </c>
      <c r="O33" s="26"/>
      <c r="P33" s="26"/>
      <c r="Q33" s="26"/>
      <c r="R33" s="26"/>
      <c r="S33" s="27" t="str">
        <f t="shared" ref="S33:U33" si="30">IF(V33&gt;0,"Có","Không")</f>
        <v>Không</v>
      </c>
      <c r="T33" s="27" t="str">
        <f t="shared" si="30"/>
        <v>Không</v>
      </c>
      <c r="U33" s="27" t="str">
        <f t="shared" si="30"/>
        <v>Không</v>
      </c>
      <c r="V33" s="29"/>
      <c r="W33" s="29"/>
      <c r="X33" s="29"/>
      <c r="Y33" s="29"/>
      <c r="Z33" s="27" t="str">
        <f t="shared" si="13"/>
        <v>Không thực hiện</v>
      </c>
      <c r="AA33" s="31" t="e">
        <f t="shared" ca="1" si="2"/>
        <v>#NAME?</v>
      </c>
      <c r="AB33" s="38"/>
    </row>
    <row r="34" spans="1:28" ht="17" x14ac:dyDescent="0.2">
      <c r="A34" s="42">
        <v>33</v>
      </c>
      <c r="B34" s="24" t="s">
        <v>110</v>
      </c>
      <c r="C34" s="24" t="s">
        <v>88</v>
      </c>
      <c r="D34" s="24">
        <v>19</v>
      </c>
      <c r="E34" s="24">
        <v>11</v>
      </c>
      <c r="F34" s="24">
        <v>2026</v>
      </c>
      <c r="G34" s="24" t="s">
        <v>89</v>
      </c>
      <c r="H34" s="25" t="s">
        <v>172</v>
      </c>
      <c r="I34" s="26" t="s">
        <v>173</v>
      </c>
      <c r="J34" s="26" t="s">
        <v>173</v>
      </c>
      <c r="K34" s="24" t="s">
        <v>92</v>
      </c>
      <c r="L34" s="24" t="s">
        <v>93</v>
      </c>
      <c r="M34" s="24" t="s">
        <v>94</v>
      </c>
      <c r="N34" s="24">
        <v>366282160</v>
      </c>
      <c r="O34" s="26"/>
      <c r="P34" s="26"/>
      <c r="Q34" s="26"/>
      <c r="R34" s="26"/>
      <c r="S34" s="27" t="str">
        <f t="shared" ref="S34:U34" si="31">IF(V34&gt;0,"Có","Không")</f>
        <v>Không</v>
      </c>
      <c r="T34" s="27" t="str">
        <f t="shared" si="31"/>
        <v>Không</v>
      </c>
      <c r="U34" s="27" t="str">
        <f t="shared" si="31"/>
        <v>Không</v>
      </c>
      <c r="V34" s="29"/>
      <c r="W34" s="29"/>
      <c r="X34" s="29"/>
      <c r="Y34" s="29"/>
      <c r="Z34" s="27" t="str">
        <f t="shared" si="13"/>
        <v>Không thực hiện</v>
      </c>
      <c r="AA34" s="31" t="e">
        <f t="shared" ca="1" si="2"/>
        <v>#NAME?</v>
      </c>
      <c r="AB34" s="41"/>
    </row>
    <row r="35" spans="1:28" ht="17" x14ac:dyDescent="0.2">
      <c r="A35" s="42">
        <v>34</v>
      </c>
      <c r="B35" s="24" t="s">
        <v>110</v>
      </c>
      <c r="C35" s="24" t="s">
        <v>88</v>
      </c>
      <c r="D35" s="24">
        <v>26</v>
      </c>
      <c r="E35" s="24">
        <v>11</v>
      </c>
      <c r="F35" s="24">
        <v>2026</v>
      </c>
      <c r="G35" s="24" t="s">
        <v>89</v>
      </c>
      <c r="H35" s="25" t="s">
        <v>174</v>
      </c>
      <c r="I35" s="26" t="s">
        <v>159</v>
      </c>
      <c r="J35" s="26" t="s">
        <v>159</v>
      </c>
      <c r="K35" s="24" t="s">
        <v>92</v>
      </c>
      <c r="L35" s="24" t="s">
        <v>93</v>
      </c>
      <c r="M35" s="24" t="s">
        <v>94</v>
      </c>
      <c r="N35" s="24">
        <v>366282160</v>
      </c>
      <c r="O35" s="26"/>
      <c r="P35" s="26"/>
      <c r="Q35" s="26"/>
      <c r="R35" s="26"/>
      <c r="S35" s="27" t="str">
        <f t="shared" ref="S35:U35" si="32">IF(V35&gt;0,"Có","Không")</f>
        <v>Không</v>
      </c>
      <c r="T35" s="27" t="str">
        <f t="shared" si="32"/>
        <v>Không</v>
      </c>
      <c r="U35" s="27" t="str">
        <f t="shared" si="32"/>
        <v>Không</v>
      </c>
      <c r="V35" s="29"/>
      <c r="W35" s="29"/>
      <c r="X35" s="29"/>
      <c r="Y35" s="29"/>
      <c r="Z35" s="27" t="str">
        <f t="shared" si="13"/>
        <v>Không thực hiện</v>
      </c>
      <c r="AA35" s="31" t="e">
        <f t="shared" ca="1" si="2"/>
        <v>#NAME?</v>
      </c>
      <c r="AB35" s="41"/>
    </row>
    <row r="36" spans="1:28" ht="17" x14ac:dyDescent="0.2">
      <c r="A36" s="42">
        <v>35</v>
      </c>
      <c r="B36" s="24" t="s">
        <v>110</v>
      </c>
      <c r="C36" s="24" t="s">
        <v>88</v>
      </c>
      <c r="D36" s="24">
        <v>3</v>
      </c>
      <c r="E36" s="24">
        <v>12</v>
      </c>
      <c r="F36" s="24">
        <v>2026</v>
      </c>
      <c r="G36" s="24" t="s">
        <v>89</v>
      </c>
      <c r="H36" s="25" t="s">
        <v>175</v>
      </c>
      <c r="I36" s="26" t="s">
        <v>176</v>
      </c>
      <c r="J36" s="26" t="s">
        <v>176</v>
      </c>
      <c r="K36" s="24" t="s">
        <v>92</v>
      </c>
      <c r="L36" s="24" t="s">
        <v>93</v>
      </c>
      <c r="M36" s="24" t="s">
        <v>94</v>
      </c>
      <c r="N36" s="24">
        <v>366282160</v>
      </c>
      <c r="O36" s="26"/>
      <c r="P36" s="26"/>
      <c r="Q36" s="26"/>
      <c r="R36" s="26"/>
      <c r="S36" s="27" t="str">
        <f t="shared" ref="S36:U36" si="33">IF(V36&gt;0,"Có","Không")</f>
        <v>Không</v>
      </c>
      <c r="T36" s="27" t="str">
        <f t="shared" si="33"/>
        <v>Không</v>
      </c>
      <c r="U36" s="27" t="str">
        <f t="shared" si="33"/>
        <v>Không</v>
      </c>
      <c r="V36" s="29"/>
      <c r="W36" s="29"/>
      <c r="X36" s="29"/>
      <c r="Y36" s="29"/>
      <c r="Z36" s="27" t="str">
        <f t="shared" si="13"/>
        <v>Không thực hiện</v>
      </c>
      <c r="AA36" s="31" t="e">
        <f t="shared" ca="1" si="2"/>
        <v>#NAME?</v>
      </c>
      <c r="AB36" s="41"/>
    </row>
    <row r="37" spans="1:28" ht="17" x14ac:dyDescent="0.2">
      <c r="A37" s="42">
        <v>36</v>
      </c>
      <c r="B37" s="24" t="s">
        <v>110</v>
      </c>
      <c r="C37" s="24" t="s">
        <v>88</v>
      </c>
      <c r="D37" s="24">
        <v>10</v>
      </c>
      <c r="E37" s="24">
        <v>12</v>
      </c>
      <c r="F37" s="24">
        <v>2026</v>
      </c>
      <c r="G37" s="24" t="s">
        <v>89</v>
      </c>
      <c r="H37" s="25" t="s">
        <v>177</v>
      </c>
      <c r="I37" s="26" t="s">
        <v>145</v>
      </c>
      <c r="J37" s="26" t="s">
        <v>145</v>
      </c>
      <c r="K37" s="24" t="s">
        <v>92</v>
      </c>
      <c r="L37" s="24" t="s">
        <v>93</v>
      </c>
      <c r="M37" s="24" t="s">
        <v>94</v>
      </c>
      <c r="N37" s="24">
        <v>366282160</v>
      </c>
      <c r="O37" s="26"/>
      <c r="P37" s="26"/>
      <c r="Q37" s="26"/>
      <c r="R37" s="26"/>
      <c r="S37" s="27" t="str">
        <f t="shared" ref="S37:U37" si="34">IF(V37&gt;0,"Có","Không")</f>
        <v>Không</v>
      </c>
      <c r="T37" s="27" t="str">
        <f t="shared" si="34"/>
        <v>Không</v>
      </c>
      <c r="U37" s="27" t="str">
        <f t="shared" si="34"/>
        <v>Không</v>
      </c>
      <c r="V37" s="29"/>
      <c r="W37" s="29"/>
      <c r="X37" s="29"/>
      <c r="Y37" s="29"/>
      <c r="Z37" s="27" t="str">
        <f t="shared" si="13"/>
        <v>Không thực hiện</v>
      </c>
      <c r="AA37" s="31" t="e">
        <f t="shared" ca="1" si="2"/>
        <v>#NAME?</v>
      </c>
      <c r="AB37" s="41"/>
    </row>
    <row r="38" spans="1:28" ht="17" x14ac:dyDescent="0.2">
      <c r="A38" s="42">
        <v>37</v>
      </c>
      <c r="B38" s="24" t="s">
        <v>110</v>
      </c>
      <c r="C38" s="24" t="s">
        <v>88</v>
      </c>
      <c r="D38" s="24">
        <v>17</v>
      </c>
      <c r="E38" s="24">
        <v>12</v>
      </c>
      <c r="F38" s="24">
        <v>2026</v>
      </c>
      <c r="G38" s="24" t="s">
        <v>89</v>
      </c>
      <c r="H38" s="25" t="s">
        <v>178</v>
      </c>
      <c r="I38" s="26" t="s">
        <v>179</v>
      </c>
      <c r="J38" s="26" t="s">
        <v>179</v>
      </c>
      <c r="K38" s="24" t="s">
        <v>92</v>
      </c>
      <c r="L38" s="24" t="s">
        <v>93</v>
      </c>
      <c r="M38" s="24" t="s">
        <v>94</v>
      </c>
      <c r="N38" s="24">
        <v>366282160</v>
      </c>
      <c r="O38" s="26"/>
      <c r="P38" s="26"/>
      <c r="Q38" s="26"/>
      <c r="R38" s="26"/>
      <c r="S38" s="27" t="str">
        <f t="shared" ref="S38:U38" si="35">IF(V38&gt;0,"Có","Không")</f>
        <v>Không</v>
      </c>
      <c r="T38" s="27" t="str">
        <f t="shared" si="35"/>
        <v>Không</v>
      </c>
      <c r="U38" s="27" t="str">
        <f t="shared" si="35"/>
        <v>Không</v>
      </c>
      <c r="V38" s="29"/>
      <c r="W38" s="29"/>
      <c r="X38" s="29"/>
      <c r="Y38" s="29"/>
      <c r="Z38" s="27" t="str">
        <f t="shared" si="13"/>
        <v>Không thực hiện</v>
      </c>
      <c r="AA38" s="31" t="e">
        <f t="shared" ca="1" si="2"/>
        <v>#NAME?</v>
      </c>
      <c r="AB38" s="41"/>
    </row>
    <row r="39" spans="1:28" ht="17" x14ac:dyDescent="0.2">
      <c r="A39" s="42">
        <v>38</v>
      </c>
      <c r="B39" s="24" t="s">
        <v>110</v>
      </c>
      <c r="C39" s="24" t="s">
        <v>88</v>
      </c>
      <c r="D39" s="24">
        <v>24</v>
      </c>
      <c r="E39" s="24">
        <v>12</v>
      </c>
      <c r="F39" s="24">
        <v>2026</v>
      </c>
      <c r="G39" s="24" t="s">
        <v>89</v>
      </c>
      <c r="H39" s="25" t="s">
        <v>180</v>
      </c>
      <c r="I39" s="26" t="s">
        <v>94</v>
      </c>
      <c r="J39" s="26" t="s">
        <v>94</v>
      </c>
      <c r="K39" s="24" t="s">
        <v>92</v>
      </c>
      <c r="L39" s="24" t="s">
        <v>93</v>
      </c>
      <c r="M39" s="24" t="s">
        <v>94</v>
      </c>
      <c r="N39" s="24">
        <v>366282160</v>
      </c>
      <c r="O39" s="26"/>
      <c r="P39" s="26"/>
      <c r="Q39" s="26"/>
      <c r="R39" s="26"/>
      <c r="S39" s="27" t="str">
        <f t="shared" ref="S39:U39" si="36">IF(V39&gt;0,"Có","Không")</f>
        <v>Không</v>
      </c>
      <c r="T39" s="27" t="str">
        <f t="shared" si="36"/>
        <v>Không</v>
      </c>
      <c r="U39" s="27" t="str">
        <f t="shared" si="36"/>
        <v>Không</v>
      </c>
      <c r="V39" s="29"/>
      <c r="W39" s="29"/>
      <c r="X39" s="29"/>
      <c r="Y39" s="29"/>
      <c r="Z39" s="27" t="str">
        <f t="shared" si="13"/>
        <v>Không thực hiện</v>
      </c>
      <c r="AA39" s="31" t="e">
        <f t="shared" ca="1" si="2"/>
        <v>#NAME?</v>
      </c>
      <c r="AB39" s="41"/>
    </row>
    <row r="40" spans="1:28" ht="17" x14ac:dyDescent="0.2">
      <c r="A40" s="42">
        <v>39</v>
      </c>
      <c r="B40" s="24" t="s">
        <v>110</v>
      </c>
      <c r="C40" s="24" t="s">
        <v>88</v>
      </c>
      <c r="D40" s="24">
        <v>31</v>
      </c>
      <c r="E40" s="24">
        <v>12</v>
      </c>
      <c r="F40" s="24">
        <v>2026</v>
      </c>
      <c r="G40" s="24" t="s">
        <v>89</v>
      </c>
      <c r="H40" s="25" t="s">
        <v>181</v>
      </c>
      <c r="I40" s="26" t="s">
        <v>182</v>
      </c>
      <c r="J40" s="26" t="s">
        <v>182</v>
      </c>
      <c r="K40" s="24" t="s">
        <v>92</v>
      </c>
      <c r="L40" s="24" t="s">
        <v>93</v>
      </c>
      <c r="M40" s="24" t="s">
        <v>94</v>
      </c>
      <c r="N40" s="24">
        <v>366282160</v>
      </c>
      <c r="O40" s="26"/>
      <c r="P40" s="26"/>
      <c r="Q40" s="26"/>
      <c r="R40" s="26"/>
      <c r="S40" s="27" t="str">
        <f t="shared" ref="S40:U40" si="37">IF(V40&gt;0,"Có","Không")</f>
        <v>Không</v>
      </c>
      <c r="T40" s="27" t="str">
        <f t="shared" si="37"/>
        <v>Không</v>
      </c>
      <c r="U40" s="27" t="str">
        <f t="shared" si="37"/>
        <v>Không</v>
      </c>
      <c r="V40" s="29"/>
      <c r="W40" s="29"/>
      <c r="X40" s="29"/>
      <c r="Y40" s="29"/>
      <c r="Z40" s="27" t="str">
        <f t="shared" si="13"/>
        <v>Không thực hiện</v>
      </c>
      <c r="AA40" s="31" t="e">
        <f t="shared" ca="1" si="2"/>
        <v>#NAME?</v>
      </c>
      <c r="AB40" s="41"/>
    </row>
  </sheetData>
  <dataValidations count="3">
    <dataValidation type="list" allowBlank="1" sqref="B2:C40" xr:uid="{00000000-0002-0000-0100-000000000000}">
      <formula1>"Thứ Hai,Thứ Ba,Thứ Tư,Thứ Năm,Thứ Sáu,Thứ Bảy"</formula1>
    </dataValidation>
    <dataValidation type="list" allowBlank="1" sqref="K2:L25 L26:L40" xr:uid="{00000000-0002-0000-0100-000001000000}">
      <formula1>"Phòng Hành chính khoa,Hội trường 8A,Phòng họp 1A,Phòng họp TGĐ,Phòng họp Chủ tịch"</formula1>
    </dataValidation>
    <dataValidation type="list" allowBlank="1" showErrorMessage="1" sqref="G2:G25" xr:uid="{00000000-0002-0000-0100-000002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 r:id="rId1" location="gid=982905251" xr:uid="{00000000-0004-0000-0100-000000000000}"/>
    <hyperlink ref="X2" r:id="rId2" xr:uid="{00000000-0004-0000-0100-000001000000}"/>
    <hyperlink ref="V4" r:id="rId3" xr:uid="{00000000-0004-0000-0100-000002000000}"/>
    <hyperlink ref="W4" r:id="rId4" xr:uid="{00000000-0004-0000-0100-000003000000}"/>
    <hyperlink ref="X4" r:id="rId5" xr:uid="{00000000-0004-0000-0100-000004000000}"/>
    <hyperlink ref="V5" r:id="rId6" location="gid=673202655" xr:uid="{00000000-0004-0000-0100-000005000000}"/>
    <hyperlink ref="W5" r:id="rId7" xr:uid="{00000000-0004-0000-0100-000006000000}"/>
    <hyperlink ref="X5" r:id="rId8" xr:uid="{00000000-0004-0000-0100-000007000000}"/>
    <hyperlink ref="V7" r:id="rId9" xr:uid="{00000000-0004-0000-0100-000008000000}"/>
    <hyperlink ref="W7" r:id="rId10" xr:uid="{00000000-0004-0000-0100-000009000000}"/>
    <hyperlink ref="X7" r:id="rId11" xr:uid="{00000000-0004-0000-0100-00000A000000}"/>
  </hyperlinks>
  <pageMargins left="0.7" right="0.7" top="0.75" bottom="0.75" header="0" footer="0"/>
  <pageSetup orientation="landscape"/>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2026-05-21T08:57:32Z</dcterms:modified>
</cp:coreProperties>
</file>