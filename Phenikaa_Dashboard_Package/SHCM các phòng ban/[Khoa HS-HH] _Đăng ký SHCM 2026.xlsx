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12" documentId="11_042417BB4658872520D23F9439636CBBD3498C37" xr6:coauthVersionLast="47" xr6:coauthVersionMax="47" xr10:uidLastSave="{32CAC538-C948-3243-89AD-3C343110B0F0}"/>
  <bookViews>
    <workbookView xWindow="0" yWindow="660" windowWidth="22920" windowHeight="13760" activeTab="1" xr2:uid="{00000000-000D-0000-FFFF-FFFF00000000}"/>
  </bookViews>
  <sheets>
    <sheet name="Quy trình" sheetId="1" r:id="rId1"/>
    <sheet name="Kế hoạch" sheetId="2" r:id="rId2"/>
  </sheets>
  <definedNames>
    <definedName name="_xlnm._FilterDatabase" localSheetId="1" hidden="1">'Kế hoạch'!$A$1:$AB$26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wstWwXHzbIUMIvLh2+AAdPzuq1UNxqFaYWYVv5q7qY="/>
    </ext>
  </extLst>
</workbook>
</file>

<file path=xl/calcChain.xml><?xml version="1.0" encoding="utf-8"?>
<calcChain xmlns="http://schemas.openxmlformats.org/spreadsheetml/2006/main">
  <c r="AA26" i="2" l="1"/>
  <c r="Z26" i="2"/>
  <c r="U26" i="2"/>
  <c r="T26" i="2"/>
  <c r="S26" i="2"/>
  <c r="AA25" i="2"/>
  <c r="Z25" i="2"/>
  <c r="U25" i="2"/>
  <c r="T25" i="2"/>
  <c r="S25" i="2"/>
  <c r="AA24" i="2"/>
  <c r="Z24" i="2"/>
  <c r="U24" i="2"/>
  <c r="T24" i="2"/>
  <c r="S24" i="2"/>
  <c r="AA23" i="2"/>
  <c r="Z23" i="2"/>
  <c r="U23" i="2"/>
  <c r="T23" i="2"/>
  <c r="S23" i="2"/>
  <c r="AA22" i="2"/>
  <c r="Z22" i="2"/>
  <c r="U22" i="2"/>
  <c r="T22" i="2"/>
  <c r="S22" i="2"/>
  <c r="A22" i="2"/>
  <c r="AA21" i="2"/>
  <c r="Z21" i="2"/>
  <c r="U21" i="2"/>
  <c r="T21" i="2"/>
  <c r="S21" i="2"/>
  <c r="A21" i="2"/>
  <c r="AA20" i="2"/>
  <c r="Z20" i="2"/>
  <c r="U20" i="2"/>
  <c r="T20" i="2"/>
  <c r="S20" i="2"/>
  <c r="AA19" i="2"/>
  <c r="Z19" i="2"/>
  <c r="U19" i="2"/>
  <c r="T19" i="2"/>
  <c r="S19" i="2"/>
  <c r="A19" i="2"/>
  <c r="AA18" i="2"/>
  <c r="Z18" i="2"/>
  <c r="U18" i="2"/>
  <c r="T18" i="2"/>
  <c r="S18" i="2"/>
  <c r="AA17" i="2"/>
  <c r="Z17" i="2"/>
  <c r="U17" i="2"/>
  <c r="T17" i="2"/>
  <c r="S17" i="2"/>
  <c r="A17" i="2"/>
  <c r="AA16" i="2"/>
  <c r="Z16" i="2"/>
  <c r="U16" i="2"/>
  <c r="T16" i="2"/>
  <c r="S16" i="2"/>
  <c r="A16" i="2"/>
  <c r="AA15" i="2"/>
  <c r="Z15" i="2"/>
  <c r="U15" i="2"/>
  <c r="T15" i="2"/>
  <c r="S15" i="2"/>
  <c r="AA14" i="2"/>
  <c r="Z14" i="2"/>
  <c r="U14" i="2"/>
  <c r="T14" i="2"/>
  <c r="S14" i="2"/>
  <c r="A14" i="2"/>
  <c r="AA13" i="2"/>
  <c r="Z13" i="2"/>
  <c r="U13" i="2"/>
  <c r="T13" i="2"/>
  <c r="S13" i="2"/>
  <c r="AA12" i="2"/>
  <c r="Z12" i="2"/>
  <c r="U12" i="2"/>
  <c r="T12" i="2"/>
  <c r="S12" i="2"/>
  <c r="A12" i="2"/>
  <c r="AA11" i="2"/>
  <c r="Z11" i="2"/>
  <c r="U11" i="2"/>
  <c r="T11" i="2"/>
  <c r="S11" i="2"/>
  <c r="A11" i="2"/>
  <c r="AA10" i="2"/>
  <c r="Z10" i="2"/>
  <c r="U10" i="2"/>
  <c r="T10" i="2"/>
  <c r="S10" i="2"/>
  <c r="AA9" i="2"/>
  <c r="Z9" i="2"/>
  <c r="U9" i="2"/>
  <c r="T9" i="2"/>
  <c r="S9" i="2"/>
  <c r="A9" i="2"/>
  <c r="AA8" i="2"/>
  <c r="Z8" i="2"/>
  <c r="U8" i="2"/>
  <c r="T8" i="2"/>
  <c r="S8" i="2"/>
  <c r="AA7" i="2"/>
  <c r="Z7" i="2"/>
  <c r="U7" i="2"/>
  <c r="T7" i="2"/>
  <c r="S7" i="2"/>
  <c r="A7" i="2"/>
  <c r="AA6" i="2"/>
  <c r="Z6" i="2"/>
  <c r="U6" i="2"/>
  <c r="T6" i="2"/>
  <c r="S6" i="2"/>
  <c r="A6" i="2"/>
  <c r="AA5" i="2"/>
  <c r="Z5" i="2"/>
  <c r="U5" i="2"/>
  <c r="T5" i="2"/>
  <c r="S5" i="2"/>
  <c r="AA4" i="2"/>
  <c r="Z4" i="2"/>
  <c r="U4" i="2"/>
  <c r="T4" i="2"/>
  <c r="S4" i="2"/>
  <c r="A4" i="2"/>
  <c r="AA3" i="2"/>
  <c r="Z3" i="2"/>
  <c r="U3" i="2"/>
  <c r="T3" i="2"/>
  <c r="S3" i="2"/>
  <c r="AA2" i="2"/>
  <c r="Z2" i="2"/>
  <c r="U2" i="2"/>
  <c r="S2" i="2"/>
  <c r="A2" i="2"/>
</calcChain>
</file>

<file path=xl/sharedStrings.xml><?xml version="1.0" encoding="utf-8"?>
<sst xmlns="http://schemas.openxmlformats.org/spreadsheetml/2006/main" count="371" uniqueCount="141">
  <si>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</si>
  <si>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</si>
  <si>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</si>
  <si>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</si>
  <si>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</si>
  <si>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</si>
  <si>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</si>
  <si>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</si>
  <si>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</si>
  <si>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</si>
  <si>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</si>
  <si>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</si>
  <si>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</si>
  <si>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</si>
  <si>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</si>
  <si>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</si>
  <si>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</si>
  <si>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</si>
  <si>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</si>
  <si>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</si>
  <si>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</si>
  <si>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</si>
  <si>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</si>
  <si>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</si>
  <si>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</si>
  <si>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</si>
  <si>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hoi.nguyenthanh@phenikaa-uni.edu.vn
ngoquoccuong.pnt@gmail.com
daotao@phenikaamec.com
hangntv@phenikaamec.com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</si>
  <si>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</si>
  <si>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</si>
  <si>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</si>
  <si>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</si>
  <si>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</si>
  <si>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</si>
  <si>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</si>
  <si>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</si>
  <si>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</si>
  <si>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</si>
  <si>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</si>
  <si>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</si>
  <si>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</si>
  <si>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</si>
  <si>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</si>
  <si>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</si>
  <si>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</si>
  <si>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</si>
  <si>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</si>
  <si>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</si>
  <si>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</si>
  <si>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</si>
  <si>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</si>
  <si>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</si>
  <si>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</si>
  <si>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</si>
  <si>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</si>
  <si>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</si>
  <si>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</si>
  <si>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</si>
  <si>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</si>
  <si>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</si>
  <si>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</si>
  <si>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</si>
  <si>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</si>
  <si>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</si>
  <si>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THỨ</t>
  </si>
  <si>
    <t>Ngày</t>
  </si>
  <si>
    <t>Tháng</t>
  </si>
  <si>
    <t>NỘI DUNG/CHƯƠNG TRÌNH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</si>
  <si>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</si>
  <si>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</si>
  <si>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</si>
  <si>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</si>
  <si>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</si>
  <si>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</si>
  <si>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</si>
  <si>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</si>
  <si>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</si>
  <si>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</si>
  <si>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</si>
  <si>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</si>
  <si>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</si>
  <si>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</si>
  <si>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</si>
  <si>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</si>
  <si>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</si>
  <si>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Tư</t>
  </si>
  <si>
    <t>13h30-14h30</t>
  </si>
  <si>
    <t>Khoa Hoá sinh- Huyết học</t>
  </si>
  <si>
    <t>Vai trò xét nghiệm Apolipoprotein trong đánh giá nguy cơ tim mạch</t>
  </si>
  <si>
    <t>Ths.BSNT. Bùi Thị Duyên</t>
  </si>
  <si>
    <t>Ths.BSNT. Bùi Thị Duyên; Ths.BSNT. Nguyễn Thị Linh Hoa</t>
  </si>
  <si>
    <t>Bác sỹ, Điều dưỡng,  KTV</t>
  </si>
  <si>
    <t>Phòng hành chính khoa</t>
  </si>
  <si>
    <t>Ths.BSNT. Nguyễn Thị Linh Hoa</t>
  </si>
  <si>
    <t>0375444465</t>
  </si>
  <si>
    <t>có</t>
  </si>
  <si>
    <t>Có</t>
  </si>
  <si>
    <t>06052026- Khoa HSHH- vai trò xét nghiệm Apolipoprotein trong đánh giá nguy cơ tim mạch -  Bùi Thị Duyên (Câu trả lời)</t>
  </si>
  <si>
    <t>https://drive.google.com/file/d/1wQnD_8uQn4BuVjZgXKLeP98KGMLic4UR/view?usp=sharing</t>
  </si>
  <si>
    <t>https://docs.google.com/presentation/d/1S6dNmk8Arjln_JsGR8PNebU-t1WwD7zjVm2rzTR2zlQ/edit?slide=id.g3dffa988418_1_44#slide=id.g3dffa988418_1_44</t>
  </si>
  <si>
    <t>https://youtu.be/XjPTZGXpFNk</t>
  </si>
  <si>
    <t>Thứ Năm</t>
  </si>
  <si>
    <t>07h15-08h15</t>
  </si>
  <si>
    <t>Sinh lý và bệnh lý dòng hồng cầu</t>
  </si>
  <si>
    <t>Ths. Phạm Ngọc Quyên</t>
  </si>
  <si>
    <t>Ths. Phạm Ngọc Quyên; 
CN. Vũ Thành Trung</t>
  </si>
  <si>
    <t>14052026/khoa HSHH-Sinh lý và bệnh lý dòng hồng cầu-Khoa HSHH-Phạm Ngọc Quyên-Câu trả lời</t>
  </si>
  <si>
    <t>14052026-SInh lý và bệnh lý dòng hồng cầu-Khoa HSHH-Phạm Ngọc Quyên-Bảng kiểm đào tạo</t>
  </si>
  <si>
    <t>14052026-Sinh lý và bệnh lý dòng hồng cầu-Khoa HSHH-Phạm Ngọc Quyên-Bài báo cáo</t>
  </si>
  <si>
    <t>14052026-Sinh lý và bệnh lý dòng hồng cầu-Khoa HSHH-Phạm Ngọc Quyên-Video</t>
  </si>
  <si>
    <t>15h00-16h00</t>
  </si>
  <si>
    <t>Hướng dẫn cách đọc kết quả ngoại kiểm và hành động khắc phục khi ngoại kiểm không đạt</t>
  </si>
  <si>
    <t xml:space="preserve">Ths.BSNT. Nguyễn Thị Linh Hoa; Ths.BSNT. Bùi Thị Duyên; </t>
  </si>
  <si>
    <t>Các giai đoạn trưởng thành của dòng bạch cầu và đặc điểm hình thái trong một số bệnh thường gặp</t>
  </si>
  <si>
    <t>CN. Vũ Thành Trung</t>
  </si>
  <si>
    <t>Phương pháp xét nghiệm miễn dịch Hoá phát quang và miễn dịch điện hoá phát quang</t>
  </si>
  <si>
    <t>Các giai đoạn trưởng thành của dòng tiểu cầu và phương pháp xử trí khi có cảnh báo khi chạy trên hệ thống máy phân tích tự động</t>
  </si>
  <si>
    <t>Các phương pháp xét nghiệm trong máy xét nghiệm Beckman Coulter AU5800 (Quang phổ, Miễn dịch đo độ đục, Điện cực chọn lọc)</t>
  </si>
  <si>
    <t>Huyết đồ</t>
  </si>
  <si>
    <t xml:space="preserve">Phương pháp sắc ký lỏng hiệu năng cao trong xét nghiệm HbA1C </t>
  </si>
  <si>
    <t>Xét nghiệm APTT, PT.</t>
  </si>
  <si>
    <t xml:space="preserve"> Tìm hiểu về xét nghiệm PTH và Beta2 Microglobulin trong bệnh nhân lọc thận nhân tạo</t>
  </si>
  <si>
    <t>Xét nghiệm Fibrinogen.</t>
  </si>
  <si>
    <t>Tìm hiểu về xét nghiệm Renin, Aldosterol</t>
  </si>
  <si>
    <t>Xét nghiệm D-Dimer</t>
  </si>
  <si>
    <t>Các xét nghiệm cơ bản đến chuyên sâu trong chẩn đoán và điều trị Đái tháo đường</t>
  </si>
  <si>
    <t>Nguyên lý và ứng dụng kỹ thuật Gel-card trong định nhóm máu</t>
  </si>
  <si>
    <t>Các xét nghiệm nội tiết sinh sản được chỉ định trong khám sức khoẻ tiền hôn nhân, điều trị vô sinh</t>
  </si>
  <si>
    <t>Nghiệm pháp coombs trực tiếp và gián tiếp</t>
  </si>
  <si>
    <t xml:space="preserve">Các xét nghiệm nội tiết Tuyến thượng thận </t>
  </si>
  <si>
    <t>Nhóm máu khó hệ ABO và cách xử trí trong thực hành lâm sàng</t>
  </si>
  <si>
    <t>Quản lý mẫu huyết thanh đục, tan máu và vàng da (LIH)</t>
  </si>
  <si>
    <t>Phản ứng hoà hợp trong an toàn truyền máu và các yếu tố ảnh hưởng</t>
  </si>
  <si>
    <t xml:space="preserve">Cách xác định độ đúng, độ chụm của phương pháp </t>
  </si>
  <si>
    <t>Xét nghiệm sàng lọc kháng thể bất thường</t>
  </si>
  <si>
    <t>Xét nghiệm Panel dị ứng</t>
  </si>
  <si>
    <t>Năm</t>
  </si>
  <si>
    <t>ĐƠN VỊ</t>
  </si>
  <si>
    <t>Giờ</t>
  </si>
  <si>
    <t>BÁO CÁO VIÊN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</si>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</sst>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0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0563C1"/>
      <name val="Times New Roman"/>
      <family val="1"/>
    </font>
    <font>
      <u/>
      <sz val="12"/>
      <color rgb="FF0000FF"/>
      <name val="Times New Roman"/>
      <family val="1"/>
    </font>
    <font>
      <b/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center" vertical="top"/>
    </xf>
    <xf numFmtId="0" fontId="5" fillId="7" borderId="0" xfId="0" applyFont="1" applyFill="1" applyAlignment="1">
      <alignment horizontal="center" vertical="top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164" fontId="4" fillId="8" borderId="5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D278F-8A19-40C6-BCD4-F7E0EA1B1C56}" name="Table1" displayName="Table1" ref="A1:AB26" totalsRowShown="0" headerRowBorderDxfId="30" tableBorderDxfId="29" totalsRowBorderDxfId="28">
  <autoFilter ref="A1:AB26" xr:uid="{FEBD278F-8A19-40C6-BCD4-F7E0EA1B1C56}"/>
  <tableColumns count="28">
    <tableColumn id="1" xr3:uid="{2BB0D06D-40A8-4523-ABFD-3DB915200D48}" name="STT" dataDxfId="27"/>
    <tableColumn id="2" xr3:uid="{682A7041-B083-4515-987D-D744812C93E7}" name="THỨ" dataDxfId="26"/>
    <tableColumn id="3" xr3:uid="{C5FC06B2-BB9B-4BED-AD98-7792694EFF5F}" name="Giờ" dataDxfId="25"/>
    <tableColumn id="4" xr3:uid="{7C4B3EAF-0C15-4618-A226-659285E1FEBA}" name="Ngày" dataDxfId="24"/>
    <tableColumn id="5" xr3:uid="{B01CBE1A-92DD-4E9C-8414-280DD8D3C0CB}" name="Tháng" dataDxfId="23"/>
    <tableColumn id="28" xr3:uid="{977EF62D-04D5-4D00-9312-F0FBE3EDACBD}" name="Năm" dataDxfId="22"/>
    <tableColumn id="6" xr3:uid="{DBEB6A0A-4600-40CF-8590-16A4FE78CD67}" name="ĐƠN VỊ" dataDxfId="21"/>
    <tableColumn id="7" xr3:uid="{FF842CE3-2CCA-42CB-A603-A20898643524}" name="NỘI DUNG/CHƯƠNG TRÌNH" dataDxfId="20"/>
    <tableColumn id="8" xr3:uid="{BF17CCFD-B54A-4FCB-8524-CB324B3B3314}" name="BÁO CÁO VIÊN" dataDxfId="19"/>
    <tableColumn id="9" xr3:uid="{74582798-E188-48F5-B71C-6E76BF65CB34}" name="NGƯỜI PHỤ TRÁCH NỘI DUNG" dataDxfId="18"/>
    <tableColumn id="10" xr3:uid="{2764EB11-62E4-442A-B6D3-A206DF589431}" name="ĐỐI TƯỢNG" dataDxfId="17"/>
    <tableColumn id="11" xr3:uid="{0A7D79BF-B1B6-408B-A8A0-CC1BCEC51D4D}" name="ĐỊA ĐIỂM" dataDxfId="16"/>
    <tableColumn id="12" xr3:uid="{98E1361F-5099-4C93-99B2-D0E1FF288C49}" name="ĐẦU MỐI" dataDxfId="15"/>
    <tableColumn id="13" xr3:uid="{DF9F4FFD-130D-43AC-9C05-9EE7DDB9CD59}" name="LIÊN HỆ" dataDxfId="14"/>
    <tableColumn id="14" xr3:uid="{59EBC764-E9C5-49A2-979C-D683FB515DAE}" name="Số học viên tham gia" dataDxfId="13"/>
    <tableColumn id="15" xr3:uid="{948D4E75-FB1F-455D-8DA1-1D9CE3BB57FC}" name="Số Học viên đạt" dataDxfId="12"/>
    <tableColumn id="16" xr3:uid="{CD15A9D2-F514-4A9A-A609-93C9E49732F4}" name="Số HV không đạt" dataDxfId="11"/>
    <tableColumn id="17" xr3:uid="{A5F371EB-CB5B-4F82-AFA7-DD76FCFA655F}" name="Đúng form post test điểm danh (ít nhất 10 câu): Có/Không" dataDxfId="10"/>
    <tableColumn id="18" xr3:uid="{AC37808B-96BF-4798-8087-11855B0338AF}" name="Có bài post test" dataDxfId="9">
      <calculatedColumnFormula>IF(V2&gt;0,"Có","Không")</calculatedColumnFormula>
    </tableColumn>
    <tableColumn id="19" xr3:uid="{E4E8301D-60B8-40FD-9413-D2D1DD1A8A8D}" name="Có bảng kiểm" dataDxfId="8">
      <calculatedColumnFormula>IF(W2&gt;0,"Có","Không")</calculatedColumnFormula>
    </tableColumn>
    <tableColumn id="20" xr3:uid="{6C1DE238-377B-49B3-89DD-931C4CBD50AB}" name="Có bài báo cáo" dataDxfId="7">
      <calculatedColumnFormula>IF(X2&gt;0,"Có","Không")</calculatedColumnFormula>
    </tableColumn>
    <tableColumn id="21" xr3:uid="{3827AFE6-1397-453A-AF84-16492CD52F38}" name="Gắn link Điểm danh và post test" dataDxfId="6"/>
    <tableColumn id="22" xr3:uid="{289B325B-32C2-4132-9086-56F1FE2C9711}" name="Gắn link bảng kiểm đào tạo nội bộ" dataDxfId="5"/>
    <tableColumn id="23" xr3:uid="{1E6B4B16-4C18-49C8-A46A-912528798675}" name="Gắn link bài báo cáo" dataDxfId="4"/>
    <tableColumn id="24" xr3:uid="{A05D6D9B-54EC-4C65-A256-F67A8616951E}" name="Gắn link video buổi đào tạo" dataDxfId="3"/>
    <tableColumn id="25" xr3:uid="{C66D0659-A84A-43F2-9E14-DF98E90EB016}" name="Tình trạng thực hiện" dataDxfId="2">
      <calculatedColumnFormula>IF(COUNTA(V2:X2)&gt;0,"Thực hiện","Không thực hiện")</calculatedColumnFormula>
    </tableColumn>
    <tableColumn id="26" xr3:uid="{4C3C2E38-E8A7-4468-94BE-612DEC1D420C}" name="Cập nhật calendar" dataDxfId="1">
      <calculatedColumnFormula>_xludf.TEXTJOIN(CHAR(10),TRUE,"Thứ:"&amp;B2,"Thời gian:"&amp;C2&amp;";ngày "&amp;D2&amp;"/"&amp;E2,"Đơn vị: "&amp;G2,"Nội dung/Chương trình: "&amp;H2,"Báo cáo viên: "&amp;I2,"Người kiểm soát nội dung báo cáo: "&amp;J2,"Đối tượng: "&amp;K2,"Địa điểm: "&amp;L2,"Đầu mối: "&amp;M2,"Liên hệ: "&amp;N2)</calculatedColumnFormula>
    </tableColumn>
    <tableColumn id="27" xr3:uid="{3572D2FB-ED33-433E-AAC8-77B09D43FB20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QBlG9KvRfMkHS5RueFiamfBIHVdc0Te/view?usp=sharing" TargetMode="External"/><Relationship Id="rId3" Type="http://schemas.openxmlformats.org/officeDocument/2006/relationships/hyperlink" Target="https://docs.google.com/presentation/d/1S6dNmk8Arjln_JsGR8PNebU-t1WwD7zjVm2rzTR2zlQ/edit?slide=id.g3dffa988418_1_44" TargetMode="External"/><Relationship Id="rId7" Type="http://schemas.openxmlformats.org/officeDocument/2006/relationships/hyperlink" Target="https://docs.google.com/presentation/d/1c4pRfyAcBMv8Cvu4UGQkpXeLFgDLZ2tL/edit?usp=sharing&amp;ouid=107100742294859062208&amp;rtpof=true&amp;sd=true" TargetMode="External"/><Relationship Id="rId2" Type="http://schemas.openxmlformats.org/officeDocument/2006/relationships/hyperlink" Target="https://drive.google.com/file/d/1wQnD_8uQn4BuVjZgXKLeP98KGMLic4UR/view?usp=sharing" TargetMode="External"/><Relationship Id="rId1" Type="http://schemas.openxmlformats.org/officeDocument/2006/relationships/hyperlink" Target="https://docs.google.com/spreadsheets/d/1soD5rtRuRgF9k1slsSVaZazOpQ_jNe6FfNWIj6-oCHM/edit?usp=sharing" TargetMode="External"/><Relationship Id="rId6" Type="http://schemas.openxmlformats.org/officeDocument/2006/relationships/hyperlink" Target="https://docs.google.com/document/d/1EI9kX6CACr_vYq6KTwe_Au--uzjFmepT/edit?usp=sharing&amp;ouid=107100742294859062208&amp;rtpof=true&amp;sd=true" TargetMode="External"/><Relationship Id="rId5" Type="http://schemas.openxmlformats.org/officeDocument/2006/relationships/hyperlink" Target="https://docs.google.com/spreadsheets/d/1H9qUU1Fwl6mcKCDpAIaliJATSx4F8Yu_UmqiGOYHgFc/edit?usp=sharing" TargetMode="External"/><Relationship Id="rId4" Type="http://schemas.openxmlformats.org/officeDocument/2006/relationships/hyperlink" Target="https://youtu.be/XjPTZGXpFNk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15.5" customWidth="1"/>
    <col min="3" max="3" width="27.1640625" customWidth="1"/>
    <col min="4" max="4" width="39.83203125" customWidth="1"/>
    <col min="5" max="5" width="34.83203125" customWidth="1"/>
    <col min="6" max="6" width="24" customWidth="1"/>
    <col min="7" max="7" width="29.33203125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">
      <c r="A2" s="3">
        <v>1</v>
      </c>
      <c r="B2" s="4" t="s">
        <v>7</v>
      </c>
      <c r="C2" s="4" t="s">
        <v>8</v>
      </c>
      <c r="D2" s="5" t="s">
        <v>9</v>
      </c>
      <c r="E2" s="6"/>
      <c r="F2" s="6"/>
      <c r="G2" s="6"/>
    </row>
    <row r="3" spans="1:7" ht="15" customHeight="1" x14ac:dyDescent="0.2">
      <c r="A3" s="3">
        <v>2</v>
      </c>
      <c r="B3" s="4" t="s">
        <v>7</v>
      </c>
      <c r="C3" s="4" t="s">
        <v>10</v>
      </c>
      <c r="D3" s="5" t="s">
        <v>11</v>
      </c>
      <c r="E3" s="5" t="s">
        <v>12</v>
      </c>
      <c r="F3" s="5" t="s">
        <v>13</v>
      </c>
      <c r="G3" s="6"/>
    </row>
    <row r="4" spans="1:7" ht="15" customHeight="1" x14ac:dyDescent="0.2">
      <c r="A4" s="3">
        <v>4</v>
      </c>
      <c r="B4" s="4" t="s">
        <v>7</v>
      </c>
      <c r="C4" s="4" t="s">
        <v>14</v>
      </c>
      <c r="D4" s="5" t="s">
        <v>15</v>
      </c>
      <c r="E4" s="5" t="s">
        <v>12</v>
      </c>
      <c r="F4" s="6"/>
      <c r="G4" s="6"/>
    </row>
    <row r="5" spans="1:7" ht="15" customHeight="1" x14ac:dyDescent="0.2">
      <c r="A5" s="3">
        <v>6</v>
      </c>
      <c r="B5" s="4" t="s">
        <v>7</v>
      </c>
      <c r="C5" s="4" t="s">
        <v>16</v>
      </c>
      <c r="D5" s="5" t="s">
        <v>17</v>
      </c>
      <c r="E5" s="6"/>
      <c r="F5" s="6"/>
      <c r="G5" s="6"/>
    </row>
    <row r="6" spans="1:7" ht="15" customHeight="1" x14ac:dyDescent="0.2">
      <c r="A6" s="7">
        <v>7</v>
      </c>
      <c r="B6" s="8" t="s">
        <v>18</v>
      </c>
      <c r="C6" s="8" t="s">
        <v>19</v>
      </c>
      <c r="D6" s="9" t="s">
        <v>20</v>
      </c>
      <c r="E6" s="10"/>
      <c r="F6" s="9" t="s">
        <v>21</v>
      </c>
      <c r="G6" s="10"/>
    </row>
    <row r="7" spans="1:7" ht="15" customHeight="1" x14ac:dyDescent="0.2">
      <c r="A7" s="7">
        <v>8</v>
      </c>
      <c r="B7" s="8" t="s">
        <v>18</v>
      </c>
      <c r="C7" s="8" t="s">
        <v>22</v>
      </c>
      <c r="D7" s="9" t="s">
        <v>23</v>
      </c>
      <c r="E7" s="10"/>
      <c r="F7" s="10"/>
      <c r="G7" s="10"/>
    </row>
    <row r="8" spans="1:7" ht="15" customHeight="1" x14ac:dyDescent="0.2">
      <c r="A8" s="7">
        <v>9</v>
      </c>
      <c r="B8" s="8" t="s">
        <v>18</v>
      </c>
      <c r="C8" s="8" t="s">
        <v>24</v>
      </c>
      <c r="D8" s="9" t="s">
        <v>25</v>
      </c>
      <c r="E8" s="9" t="s">
        <v>26</v>
      </c>
      <c r="F8" s="10"/>
      <c r="G8" s="10"/>
    </row>
    <row r="9" spans="1:7" ht="15" customHeight="1" x14ac:dyDescent="0.2">
      <c r="A9" s="7">
        <v>10</v>
      </c>
      <c r="B9" s="8" t="s">
        <v>18</v>
      </c>
      <c r="C9" s="8" t="s">
        <v>27</v>
      </c>
      <c r="D9" s="9" t="s">
        <v>28</v>
      </c>
      <c r="E9" s="10"/>
      <c r="F9" s="9" t="s">
        <v>29</v>
      </c>
      <c r="G9" s="10"/>
    </row>
    <row r="10" spans="1:7" ht="15" customHeight="1" x14ac:dyDescent="0.2">
      <c r="A10" s="7">
        <v>11</v>
      </c>
      <c r="B10" s="8" t="s">
        <v>18</v>
      </c>
      <c r="C10" s="8" t="s">
        <v>30</v>
      </c>
      <c r="D10" s="9" t="s">
        <v>31</v>
      </c>
      <c r="E10" s="10"/>
      <c r="F10" s="10"/>
      <c r="G10" s="10"/>
    </row>
    <row r="11" spans="1:7" ht="15" customHeight="1" x14ac:dyDescent="0.2">
      <c r="A11" s="7">
        <v>12</v>
      </c>
      <c r="B11" s="8" t="s">
        <v>18</v>
      </c>
      <c r="C11" s="8" t="s">
        <v>32</v>
      </c>
      <c r="D11" s="9" t="s">
        <v>33</v>
      </c>
      <c r="E11" s="10"/>
      <c r="F11" s="10"/>
      <c r="G11" s="10"/>
    </row>
    <row r="12" spans="1:7" ht="15" customHeight="1" x14ac:dyDescent="0.2">
      <c r="A12" s="11">
        <v>13</v>
      </c>
      <c r="B12" s="12" t="s">
        <v>34</v>
      </c>
      <c r="C12" s="12" t="s">
        <v>35</v>
      </c>
      <c r="D12" s="13" t="s">
        <v>36</v>
      </c>
      <c r="E12" s="14"/>
      <c r="F12" s="14"/>
      <c r="G12" s="14"/>
    </row>
    <row r="13" spans="1:7" ht="15" customHeight="1" x14ac:dyDescent="0.2">
      <c r="A13" s="11">
        <v>14</v>
      </c>
      <c r="B13" s="12" t="s">
        <v>34</v>
      </c>
      <c r="C13" s="12" t="s">
        <v>37</v>
      </c>
      <c r="D13" s="13" t="s">
        <v>38</v>
      </c>
      <c r="E13" s="14"/>
      <c r="F13" s="14"/>
      <c r="G13" s="14"/>
    </row>
    <row r="14" spans="1:7" ht="15" customHeight="1" x14ac:dyDescent="0.2">
      <c r="A14" s="11">
        <v>15</v>
      </c>
      <c r="B14" s="12" t="s">
        <v>34</v>
      </c>
      <c r="C14" s="12" t="s">
        <v>39</v>
      </c>
      <c r="D14" s="13" t="s">
        <v>40</v>
      </c>
      <c r="E14" s="14"/>
      <c r="F14" s="14"/>
      <c r="G14" s="14"/>
    </row>
    <row r="15" spans="1:7" ht="15" customHeight="1" x14ac:dyDescent="0.2">
      <c r="A15" s="15">
        <v>16</v>
      </c>
      <c r="B15" s="16" t="s">
        <v>41</v>
      </c>
      <c r="C15" s="16" t="s">
        <v>42</v>
      </c>
      <c r="D15" s="17" t="s">
        <v>43</v>
      </c>
      <c r="E15" s="18"/>
      <c r="F15" s="18"/>
      <c r="G15" s="18"/>
    </row>
    <row r="16" spans="1:7" ht="15" customHeight="1" x14ac:dyDescent="0.2">
      <c r="A16" s="15">
        <v>17</v>
      </c>
      <c r="B16" s="16" t="s">
        <v>41</v>
      </c>
      <c r="C16" s="16" t="s">
        <v>44</v>
      </c>
      <c r="D16" s="17" t="s">
        <v>45</v>
      </c>
      <c r="E16" s="18"/>
      <c r="F16" s="18"/>
      <c r="G16" s="18"/>
    </row>
    <row r="17" spans="1:7" ht="15" customHeight="1" x14ac:dyDescent="0.2">
      <c r="A17" s="15">
        <v>18</v>
      </c>
      <c r="B17" s="16" t="s">
        <v>41</v>
      </c>
      <c r="C17" s="16" t="s">
        <v>46</v>
      </c>
      <c r="D17" s="17" t="s">
        <v>47</v>
      </c>
      <c r="E17" s="18"/>
      <c r="F17" s="18"/>
      <c r="G17" s="18"/>
    </row>
    <row r="18" spans="1:7" ht="15" customHeight="1" x14ac:dyDescent="0.2">
      <c r="A18" s="15">
        <v>19</v>
      </c>
      <c r="B18" s="16" t="s">
        <v>41</v>
      </c>
      <c r="C18" s="16" t="s">
        <v>48</v>
      </c>
      <c r="D18" s="17" t="s">
        <v>49</v>
      </c>
      <c r="E18" s="18"/>
      <c r="F18" s="18"/>
      <c r="G18" s="18"/>
    </row>
    <row r="19" spans="1:7" ht="15" customHeight="1" x14ac:dyDescent="0.2">
      <c r="A19" s="15">
        <v>20</v>
      </c>
      <c r="B19" s="16" t="s">
        <v>41</v>
      </c>
      <c r="C19" s="16" t="s">
        <v>50</v>
      </c>
      <c r="D19" s="17" t="s">
        <v>51</v>
      </c>
      <c r="E19" s="18"/>
      <c r="F19" s="18"/>
      <c r="G19" s="18"/>
    </row>
    <row r="20" spans="1:7" ht="15" customHeight="1" x14ac:dyDescent="0.2">
      <c r="A20" s="19">
        <v>21</v>
      </c>
      <c r="B20" s="20" t="s">
        <v>52</v>
      </c>
      <c r="C20" s="20" t="s">
        <v>53</v>
      </c>
      <c r="D20" s="21" t="s">
        <v>54</v>
      </c>
      <c r="E20" s="22"/>
      <c r="F20" s="22"/>
      <c r="G20" s="22"/>
    </row>
    <row r="21" spans="1:7" ht="15" customHeight="1" x14ac:dyDescent="0.2">
      <c r="A21" s="19">
        <v>22</v>
      </c>
      <c r="B21" s="20" t="s">
        <v>52</v>
      </c>
      <c r="C21" s="20" t="s">
        <v>55</v>
      </c>
      <c r="D21" s="21" t="s">
        <v>56</v>
      </c>
      <c r="E21" s="22"/>
      <c r="F21" s="22"/>
      <c r="G21" s="22"/>
    </row>
    <row r="22" spans="1:7" ht="15" customHeight="1" x14ac:dyDescent="0.2">
      <c r="A22" s="19">
        <v>23</v>
      </c>
      <c r="B22" s="20" t="s">
        <v>52</v>
      </c>
      <c r="C22" s="20" t="s">
        <v>57</v>
      </c>
      <c r="D22" s="21" t="s">
        <v>58</v>
      </c>
      <c r="E22" s="22"/>
      <c r="F22" s="22"/>
      <c r="G22" s="22"/>
    </row>
    <row r="23" spans="1:7" ht="15" customHeight="1" x14ac:dyDescent="0.2">
      <c r="A23" s="19">
        <v>24</v>
      </c>
      <c r="B23" s="20" t="s">
        <v>52</v>
      </c>
      <c r="C23" s="20" t="s">
        <v>59</v>
      </c>
      <c r="D23" s="21" t="s">
        <v>60</v>
      </c>
      <c r="E23" s="22"/>
      <c r="F23" s="22"/>
      <c r="G23" s="22"/>
    </row>
    <row r="24" spans="1:7" ht="15" customHeight="1" x14ac:dyDescent="0.2">
      <c r="A24" s="19">
        <v>25</v>
      </c>
      <c r="B24" s="20" t="s">
        <v>52</v>
      </c>
      <c r="C24" s="20" t="s">
        <v>61</v>
      </c>
      <c r="D24" s="21" t="s">
        <v>62</v>
      </c>
      <c r="E24" s="22"/>
      <c r="F24" s="22"/>
      <c r="G2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37"/>
  <sheetViews>
    <sheetView tabSelected="1" workbookViewId="0">
      <pane xSplit="8" ySplit="1" topLeftCell="M2" activePane="bottomRight" state="frozen"/>
      <selection pane="topRight" activeCell="H1" sqref="H1"/>
      <selection pane="bottomLeft" activeCell="A2" sqref="A2"/>
      <selection pane="bottomRight" activeCell="M2" sqref="M2"/>
    </sheetView>
  </sheetViews>
  <sheetFormatPr baseColWidth="10" defaultColWidth="14.5" defaultRowHeight="15" customHeight="1" x14ac:dyDescent="0.2"/>
  <cols>
    <col min="1" max="1" width="10.6640625" customWidth="1"/>
    <col min="2" max="2" width="13.5" customWidth="1"/>
    <col min="3" max="3" width="14.33203125" customWidth="1"/>
    <col min="4" max="4" width="13.1640625" customWidth="1"/>
    <col min="5" max="6" width="13.33203125" customWidth="1"/>
    <col min="7" max="7" width="19.5" customWidth="1"/>
    <col min="8" max="8" width="38" customWidth="1"/>
    <col min="9" max="9" width="40.5" customWidth="1"/>
    <col min="10" max="10" width="47.6640625" customWidth="1"/>
    <col min="11" max="11" width="25" customWidth="1"/>
    <col min="12" max="12" width="20.33203125" customWidth="1"/>
    <col min="13" max="13" width="37.83203125" customWidth="1"/>
    <col min="14" max="14" width="17.6640625" customWidth="1"/>
    <col min="15" max="15" width="22.6640625" customWidth="1"/>
    <col min="16" max="16" width="18.1640625" customWidth="1"/>
    <col min="17" max="17" width="19.5" customWidth="1"/>
    <col min="18" max="18" width="57.83203125" customWidth="1"/>
    <col min="19" max="19" width="18" customWidth="1"/>
    <col min="20" max="21" width="17.6640625" customWidth="1"/>
    <col min="22" max="22" width="33.6640625" customWidth="1"/>
    <col min="23" max="23" width="35.5" customWidth="1"/>
    <col min="24" max="24" width="22.5" customWidth="1"/>
    <col min="25" max="25" width="29.1640625" customWidth="1"/>
    <col min="26" max="26" width="22.5" customWidth="1"/>
    <col min="27" max="27" width="39.5" customWidth="1"/>
    <col min="28" max="28" width="25" customWidth="1"/>
  </cols>
  <sheetData>
    <row r="1" spans="1:28" ht="17" x14ac:dyDescent="0.2">
      <c r="A1" s="41" t="s">
        <v>0</v>
      </c>
      <c r="B1" s="42" t="s">
        <v>63</v>
      </c>
      <c r="C1" s="42" t="s">
        <v>137</v>
      </c>
      <c r="D1" s="42" t="s">
        <v>64</v>
      </c>
      <c r="E1" s="42" t="s">
        <v>65</v>
      </c>
      <c r="F1" s="42" t="s">
        <v>135</v>
      </c>
      <c r="G1" s="42" t="s">
        <v>136</v>
      </c>
      <c r="H1" s="42" t="s">
        <v>66</v>
      </c>
      <c r="I1" s="54" t="s">
        <v>138</v>
      </c>
      <c r="J1" s="42" t="s">
        <v>139</v>
      </c>
      <c r="K1" s="42" t="s">
        <v>67</v>
      </c>
      <c r="L1" s="42" t="s">
        <v>68</v>
      </c>
      <c r="M1" s="42" t="s">
        <v>140</v>
      </c>
      <c r="N1" s="43" t="s">
        <v>69</v>
      </c>
      <c r="O1" s="43" t="s">
        <v>70</v>
      </c>
      <c r="P1" s="43" t="s">
        <v>71</v>
      </c>
      <c r="Q1" s="43" t="s">
        <v>72</v>
      </c>
      <c r="R1" s="43" t="s">
        <v>73</v>
      </c>
      <c r="S1" s="44" t="s">
        <v>74</v>
      </c>
      <c r="T1" s="44" t="s">
        <v>75</v>
      </c>
      <c r="U1" s="44" t="s">
        <v>76</v>
      </c>
      <c r="V1" s="45" t="s">
        <v>77</v>
      </c>
      <c r="W1" s="45" t="s">
        <v>78</v>
      </c>
      <c r="X1" s="45" t="s">
        <v>79</v>
      </c>
      <c r="Y1" s="45" t="s">
        <v>80</v>
      </c>
      <c r="Z1" s="44" t="s">
        <v>81</v>
      </c>
      <c r="AA1" s="44" t="s">
        <v>82</v>
      </c>
      <c r="AB1" s="46" t="s">
        <v>83</v>
      </c>
    </row>
    <row r="2" spans="1:28" ht="119" x14ac:dyDescent="0.2">
      <c r="A2" s="39">
        <f>ROW()-1</f>
        <v>1</v>
      </c>
      <c r="B2" s="23" t="s">
        <v>84</v>
      </c>
      <c r="C2" s="23" t="s">
        <v>85</v>
      </c>
      <c r="D2" s="23">
        <v>6</v>
      </c>
      <c r="E2" s="23">
        <v>5</v>
      </c>
      <c r="F2" s="23">
        <v>2026</v>
      </c>
      <c r="G2" s="23" t="s">
        <v>86</v>
      </c>
      <c r="H2" s="24" t="s">
        <v>87</v>
      </c>
      <c r="I2" s="24" t="s">
        <v>88</v>
      </c>
      <c r="J2" s="24" t="s">
        <v>89</v>
      </c>
      <c r="K2" s="24" t="s">
        <v>90</v>
      </c>
      <c r="L2" s="24" t="s">
        <v>91</v>
      </c>
      <c r="M2" s="24" t="s">
        <v>92</v>
      </c>
      <c r="N2" s="25" t="s">
        <v>93</v>
      </c>
      <c r="O2" s="24">
        <v>19</v>
      </c>
      <c r="P2" s="24">
        <v>19</v>
      </c>
      <c r="Q2" s="24">
        <v>0</v>
      </c>
      <c r="R2" s="24" t="s">
        <v>94</v>
      </c>
      <c r="S2" s="26" t="str">
        <f t="shared" ref="S2:S26" si="0">IF(V2&gt;0,"Có","Không")</f>
        <v>Có</v>
      </c>
      <c r="T2" s="26" t="s">
        <v>95</v>
      </c>
      <c r="U2" s="26" t="str">
        <f>IF(X2&gt;0,"Có","Không")</f>
        <v>Có</v>
      </c>
      <c r="V2" s="27" t="s">
        <v>96</v>
      </c>
      <c r="W2" s="28" t="s">
        <v>97</v>
      </c>
      <c r="X2" s="29" t="s">
        <v>98</v>
      </c>
      <c r="Y2" s="28" t="s">
        <v>99</v>
      </c>
      <c r="Z2" s="26" t="str">
        <f t="shared" ref="Z2:Z26" si="1">IF(COUNTA(V2:X2)&gt;0,"Thực hiện","Không thực hiện")</f>
        <v>Thực hiện</v>
      </c>
      <c r="AA2" s="26" t="e">
        <f t="shared" ref="AA2:AA26" ca="1" si="2">_xludf.TEXTJOIN(CHAR(10),TRUE,"Thứ:"&amp;B2,"Thời gian:"&amp;C2&amp;";ngày "&amp;D2&amp;"/"&amp;E2,"Đơn vị: "&amp;G2,"Nội dung/Chương trình: "&amp;H2,"Báo cáo viên: "&amp;I2,"Người kiểm soát nội dung báo cáo: "&amp;J2,"Đối tượng: "&amp;K2,"Địa điểm: "&amp;L2,"Đầu mối: "&amp;M2,"Liên hệ: "&amp;N2)</f>
        <v>#NAME?</v>
      </c>
      <c r="AB2" s="40"/>
    </row>
    <row r="3" spans="1:28" ht="68" x14ac:dyDescent="0.2">
      <c r="A3" s="39">
        <v>2</v>
      </c>
      <c r="B3" s="23" t="s">
        <v>100</v>
      </c>
      <c r="C3" s="23" t="s">
        <v>101</v>
      </c>
      <c r="D3" s="23">
        <v>14</v>
      </c>
      <c r="E3" s="23">
        <v>5</v>
      </c>
      <c r="F3" s="23">
        <v>2026</v>
      </c>
      <c r="G3" s="23" t="s">
        <v>86</v>
      </c>
      <c r="H3" s="30" t="s">
        <v>102</v>
      </c>
      <c r="I3" s="30" t="s">
        <v>103</v>
      </c>
      <c r="J3" s="30" t="s">
        <v>104</v>
      </c>
      <c r="K3" s="30" t="s">
        <v>90</v>
      </c>
      <c r="L3" s="30" t="s">
        <v>91</v>
      </c>
      <c r="M3" s="30" t="s">
        <v>92</v>
      </c>
      <c r="N3" s="31" t="s">
        <v>93</v>
      </c>
      <c r="O3" s="30">
        <v>18</v>
      </c>
      <c r="P3" s="30">
        <v>18</v>
      </c>
      <c r="Q3" s="30">
        <v>0</v>
      </c>
      <c r="R3" s="30" t="s">
        <v>94</v>
      </c>
      <c r="S3" s="26" t="str">
        <f t="shared" si="0"/>
        <v>Có</v>
      </c>
      <c r="T3" s="26" t="str">
        <f t="shared" ref="T3:U3" si="3">IF(W3&gt;0,"Có","Không")</f>
        <v>Có</v>
      </c>
      <c r="U3" s="26" t="str">
        <f t="shared" si="3"/>
        <v>Có</v>
      </c>
      <c r="V3" s="27" t="s">
        <v>105</v>
      </c>
      <c r="W3" s="27" t="s">
        <v>106</v>
      </c>
      <c r="X3" s="27" t="s">
        <v>107</v>
      </c>
      <c r="Y3" s="27" t="s">
        <v>108</v>
      </c>
      <c r="Z3" s="26" t="str">
        <f t="shared" si="1"/>
        <v>Thực hiện</v>
      </c>
      <c r="AA3" s="26" t="e">
        <f t="shared" ca="1" si="2"/>
        <v>#NAME?</v>
      </c>
      <c r="AB3" s="40"/>
    </row>
    <row r="4" spans="1:28" ht="51" x14ac:dyDescent="0.2">
      <c r="A4" s="39">
        <f>ROW()-1</f>
        <v>3</v>
      </c>
      <c r="B4" s="23" t="s">
        <v>100</v>
      </c>
      <c r="C4" s="23" t="s">
        <v>109</v>
      </c>
      <c r="D4" s="23">
        <v>21</v>
      </c>
      <c r="E4" s="23">
        <v>5</v>
      </c>
      <c r="F4" s="23">
        <v>2026</v>
      </c>
      <c r="G4" s="23" t="s">
        <v>86</v>
      </c>
      <c r="H4" s="23" t="s">
        <v>110</v>
      </c>
      <c r="I4" s="32" t="s">
        <v>92</v>
      </c>
      <c r="J4" s="24" t="s">
        <v>111</v>
      </c>
      <c r="K4" s="24" t="s">
        <v>90</v>
      </c>
      <c r="L4" s="24" t="s">
        <v>91</v>
      </c>
      <c r="M4" s="24" t="s">
        <v>92</v>
      </c>
      <c r="N4" s="24" t="s">
        <v>93</v>
      </c>
      <c r="O4" s="23"/>
      <c r="P4" s="23"/>
      <c r="Q4" s="23"/>
      <c r="R4" s="23"/>
      <c r="S4" s="26" t="str">
        <f t="shared" si="0"/>
        <v>Không</v>
      </c>
      <c r="T4" s="26" t="str">
        <f t="shared" ref="T4:U4" si="4">IF(W4&gt;0,"Có","Không")</f>
        <v>Không</v>
      </c>
      <c r="U4" s="26" t="str">
        <f t="shared" si="4"/>
        <v>Không</v>
      </c>
      <c r="V4" s="33"/>
      <c r="W4" s="33"/>
      <c r="X4" s="33"/>
      <c r="Y4" s="33"/>
      <c r="Z4" s="26" t="str">
        <f t="shared" si="1"/>
        <v>Không thực hiện</v>
      </c>
      <c r="AA4" s="26" t="e">
        <f t="shared" ca="1" si="2"/>
        <v>#NAME?</v>
      </c>
      <c r="AB4" s="40"/>
    </row>
    <row r="5" spans="1:28" ht="51" x14ac:dyDescent="0.2">
      <c r="A5" s="39">
        <v>4</v>
      </c>
      <c r="B5" s="23" t="s">
        <v>100</v>
      </c>
      <c r="C5" s="23" t="s">
        <v>109</v>
      </c>
      <c r="D5" s="23">
        <v>28</v>
      </c>
      <c r="E5" s="23">
        <v>5</v>
      </c>
      <c r="F5" s="23">
        <v>2026</v>
      </c>
      <c r="G5" s="23" t="s">
        <v>86</v>
      </c>
      <c r="H5" s="23" t="s">
        <v>112</v>
      </c>
      <c r="I5" s="32" t="s">
        <v>113</v>
      </c>
      <c r="J5" s="23" t="s">
        <v>104</v>
      </c>
      <c r="K5" s="24" t="s">
        <v>90</v>
      </c>
      <c r="L5" s="24" t="s">
        <v>91</v>
      </c>
      <c r="M5" s="24" t="s">
        <v>92</v>
      </c>
      <c r="N5" s="24" t="s">
        <v>93</v>
      </c>
      <c r="O5" s="23"/>
      <c r="P5" s="23"/>
      <c r="Q5" s="23"/>
      <c r="R5" s="23"/>
      <c r="S5" s="26" t="str">
        <f t="shared" si="0"/>
        <v>Không</v>
      </c>
      <c r="T5" s="26" t="str">
        <f t="shared" ref="T5:U5" si="5">IF(W5&gt;0,"Có","Không")</f>
        <v>Không</v>
      </c>
      <c r="U5" s="26" t="str">
        <f t="shared" si="5"/>
        <v>Không</v>
      </c>
      <c r="V5" s="33"/>
      <c r="W5" s="33"/>
      <c r="X5" s="33"/>
      <c r="Y5" s="33"/>
      <c r="Z5" s="26" t="str">
        <f t="shared" si="1"/>
        <v>Không thực hiện</v>
      </c>
      <c r="AA5" s="26" t="e">
        <f t="shared" ca="1" si="2"/>
        <v>#NAME?</v>
      </c>
      <c r="AB5" s="40"/>
    </row>
    <row r="6" spans="1:28" ht="34" x14ac:dyDescent="0.2">
      <c r="A6" s="39">
        <f t="shared" ref="A6:A7" si="6">ROW()-1</f>
        <v>5</v>
      </c>
      <c r="B6" s="23" t="s">
        <v>100</v>
      </c>
      <c r="C6" s="23" t="s">
        <v>109</v>
      </c>
      <c r="D6" s="23">
        <v>4</v>
      </c>
      <c r="E6" s="23">
        <v>6</v>
      </c>
      <c r="F6" s="23">
        <v>2026</v>
      </c>
      <c r="G6" s="23" t="s">
        <v>86</v>
      </c>
      <c r="H6" s="23" t="s">
        <v>114</v>
      </c>
      <c r="I6" s="24" t="s">
        <v>88</v>
      </c>
      <c r="J6" s="24" t="s">
        <v>89</v>
      </c>
      <c r="K6" s="24" t="s">
        <v>90</v>
      </c>
      <c r="L6" s="24" t="s">
        <v>91</v>
      </c>
      <c r="M6" s="24" t="s">
        <v>92</v>
      </c>
      <c r="N6" s="24" t="s">
        <v>93</v>
      </c>
      <c r="O6" s="23"/>
      <c r="P6" s="23"/>
      <c r="Q6" s="23"/>
      <c r="R6" s="23"/>
      <c r="S6" s="26" t="str">
        <f t="shared" si="0"/>
        <v>Không</v>
      </c>
      <c r="T6" s="26" t="str">
        <f t="shared" ref="T6:U6" si="7">IF(W6&gt;0,"Có","Không")</f>
        <v>Không</v>
      </c>
      <c r="U6" s="26" t="str">
        <f t="shared" si="7"/>
        <v>Không</v>
      </c>
      <c r="V6" s="33"/>
      <c r="W6" s="33"/>
      <c r="X6" s="33"/>
      <c r="Y6" s="33"/>
      <c r="Z6" s="26" t="str">
        <f t="shared" si="1"/>
        <v>Không thực hiện</v>
      </c>
      <c r="AA6" s="26" t="e">
        <f t="shared" ca="1" si="2"/>
        <v>#NAME?</v>
      </c>
      <c r="AB6" s="40"/>
    </row>
    <row r="7" spans="1:28" ht="51" x14ac:dyDescent="0.2">
      <c r="A7" s="39">
        <f t="shared" si="6"/>
        <v>6</v>
      </c>
      <c r="B7" s="23" t="s">
        <v>100</v>
      </c>
      <c r="C7" s="23" t="s">
        <v>109</v>
      </c>
      <c r="D7" s="23">
        <v>11</v>
      </c>
      <c r="E7" s="23">
        <v>6</v>
      </c>
      <c r="F7" s="23">
        <v>2026</v>
      </c>
      <c r="G7" s="23" t="s">
        <v>86</v>
      </c>
      <c r="H7" s="23" t="s">
        <v>115</v>
      </c>
      <c r="I7" s="30" t="s">
        <v>103</v>
      </c>
      <c r="J7" s="30" t="s">
        <v>104</v>
      </c>
      <c r="K7" s="24" t="s">
        <v>90</v>
      </c>
      <c r="L7" s="24" t="s">
        <v>91</v>
      </c>
      <c r="M7" s="24" t="s">
        <v>92</v>
      </c>
      <c r="N7" s="24" t="s">
        <v>93</v>
      </c>
      <c r="O7" s="23"/>
      <c r="P7" s="23"/>
      <c r="Q7" s="23"/>
      <c r="R7" s="23"/>
      <c r="S7" s="26" t="str">
        <f t="shared" si="0"/>
        <v>Không</v>
      </c>
      <c r="T7" s="26" t="str">
        <f t="shared" ref="T7:U7" si="8">IF(W7&gt;0,"Có","Không")</f>
        <v>Không</v>
      </c>
      <c r="U7" s="26" t="str">
        <f t="shared" si="8"/>
        <v>Không</v>
      </c>
      <c r="V7" s="33"/>
      <c r="W7" s="33"/>
      <c r="X7" s="33"/>
      <c r="Y7" s="33"/>
      <c r="Z7" s="26" t="str">
        <f t="shared" si="1"/>
        <v>Không thực hiện</v>
      </c>
      <c r="AA7" s="26" t="e">
        <f t="shared" ca="1" si="2"/>
        <v>#NAME?</v>
      </c>
      <c r="AB7" s="40"/>
    </row>
    <row r="8" spans="1:28" ht="68" x14ac:dyDescent="0.2">
      <c r="A8" s="39">
        <v>7</v>
      </c>
      <c r="B8" s="23" t="s">
        <v>100</v>
      </c>
      <c r="C8" s="23" t="s">
        <v>109</v>
      </c>
      <c r="D8" s="23">
        <v>18</v>
      </c>
      <c r="E8" s="23">
        <v>6</v>
      </c>
      <c r="F8" s="23">
        <v>2026</v>
      </c>
      <c r="G8" s="23" t="s">
        <v>86</v>
      </c>
      <c r="H8" s="23" t="s">
        <v>116</v>
      </c>
      <c r="I8" s="32" t="s">
        <v>92</v>
      </c>
      <c r="J8" s="24" t="s">
        <v>111</v>
      </c>
      <c r="K8" s="24" t="s">
        <v>90</v>
      </c>
      <c r="L8" s="24" t="s">
        <v>91</v>
      </c>
      <c r="M8" s="24" t="s">
        <v>92</v>
      </c>
      <c r="N8" s="24" t="s">
        <v>93</v>
      </c>
      <c r="O8" s="23"/>
      <c r="P8" s="23"/>
      <c r="Q8" s="23"/>
      <c r="R8" s="23"/>
      <c r="S8" s="26" t="str">
        <f t="shared" si="0"/>
        <v>Không</v>
      </c>
      <c r="T8" s="26" t="str">
        <f t="shared" ref="T8:U8" si="9">IF(W8&gt;0,"Có","Không")</f>
        <v>Không</v>
      </c>
      <c r="U8" s="26" t="str">
        <f t="shared" si="9"/>
        <v>Không</v>
      </c>
      <c r="V8" s="33"/>
      <c r="W8" s="33"/>
      <c r="X8" s="33"/>
      <c r="Y8" s="33"/>
      <c r="Z8" s="26" t="str">
        <f t="shared" si="1"/>
        <v>Không thực hiện</v>
      </c>
      <c r="AA8" s="26" t="e">
        <f t="shared" ca="1" si="2"/>
        <v>#NAME?</v>
      </c>
      <c r="AB8" s="40"/>
    </row>
    <row r="9" spans="1:28" ht="34" x14ac:dyDescent="0.2">
      <c r="A9" s="39">
        <f>ROW()-1</f>
        <v>8</v>
      </c>
      <c r="B9" s="23" t="s">
        <v>100</v>
      </c>
      <c r="C9" s="23" t="s">
        <v>109</v>
      </c>
      <c r="D9" s="23">
        <v>25</v>
      </c>
      <c r="E9" s="23">
        <v>6</v>
      </c>
      <c r="F9" s="23">
        <v>2026</v>
      </c>
      <c r="G9" s="23" t="s">
        <v>86</v>
      </c>
      <c r="H9" s="23" t="s">
        <v>117</v>
      </c>
      <c r="I9" s="32" t="s">
        <v>113</v>
      </c>
      <c r="J9" s="23" t="s">
        <v>104</v>
      </c>
      <c r="K9" s="24" t="s">
        <v>90</v>
      </c>
      <c r="L9" s="24" t="s">
        <v>91</v>
      </c>
      <c r="M9" s="24" t="s">
        <v>92</v>
      </c>
      <c r="N9" s="24" t="s">
        <v>93</v>
      </c>
      <c r="O9" s="23"/>
      <c r="P9" s="23"/>
      <c r="Q9" s="23"/>
      <c r="R9" s="23"/>
      <c r="S9" s="26" t="str">
        <f t="shared" si="0"/>
        <v>Không</v>
      </c>
      <c r="T9" s="26" t="str">
        <f t="shared" ref="T9:U9" si="10">IF(W9&gt;0,"Có","Không")</f>
        <v>Không</v>
      </c>
      <c r="U9" s="26" t="str">
        <f t="shared" si="10"/>
        <v>Không</v>
      </c>
      <c r="V9" s="33"/>
      <c r="W9" s="33"/>
      <c r="X9" s="33"/>
      <c r="Y9" s="33"/>
      <c r="Z9" s="26" t="str">
        <f t="shared" si="1"/>
        <v>Không thực hiện</v>
      </c>
      <c r="AA9" s="26" t="e">
        <f t="shared" ca="1" si="2"/>
        <v>#NAME?</v>
      </c>
      <c r="AB9" s="40"/>
    </row>
    <row r="10" spans="1:28" ht="34" x14ac:dyDescent="0.2">
      <c r="A10" s="39">
        <v>9</v>
      </c>
      <c r="B10" s="23" t="s">
        <v>100</v>
      </c>
      <c r="C10" s="23" t="s">
        <v>109</v>
      </c>
      <c r="D10" s="23">
        <v>2</v>
      </c>
      <c r="E10" s="23">
        <v>7</v>
      </c>
      <c r="F10" s="23">
        <v>2026</v>
      </c>
      <c r="G10" s="23" t="s">
        <v>86</v>
      </c>
      <c r="H10" s="23" t="s">
        <v>118</v>
      </c>
      <c r="I10" s="24" t="s">
        <v>88</v>
      </c>
      <c r="J10" s="24" t="s">
        <v>89</v>
      </c>
      <c r="K10" s="24" t="s">
        <v>90</v>
      </c>
      <c r="L10" s="24" t="s">
        <v>91</v>
      </c>
      <c r="M10" s="24" t="s">
        <v>92</v>
      </c>
      <c r="N10" s="24" t="s">
        <v>93</v>
      </c>
      <c r="O10" s="23"/>
      <c r="P10" s="23"/>
      <c r="Q10" s="23"/>
      <c r="R10" s="23"/>
      <c r="S10" s="26" t="str">
        <f t="shared" si="0"/>
        <v>Không</v>
      </c>
      <c r="T10" s="26" t="str">
        <f t="shared" ref="T10:U10" si="11">IF(W10&gt;0,"Có","Không")</f>
        <v>Không</v>
      </c>
      <c r="U10" s="26" t="str">
        <f t="shared" si="11"/>
        <v>Không</v>
      </c>
      <c r="V10" s="33"/>
      <c r="W10" s="33"/>
      <c r="X10" s="33"/>
      <c r="Y10" s="33"/>
      <c r="Z10" s="26" t="str">
        <f t="shared" si="1"/>
        <v>Không thực hiện</v>
      </c>
      <c r="AA10" s="26" t="e">
        <f t="shared" ca="1" si="2"/>
        <v>#NAME?</v>
      </c>
      <c r="AB10" s="40"/>
    </row>
    <row r="11" spans="1:28" ht="34" x14ac:dyDescent="0.2">
      <c r="A11" s="39">
        <f t="shared" ref="A11:A12" si="12">ROW()-1</f>
        <v>10</v>
      </c>
      <c r="B11" s="23" t="s">
        <v>100</v>
      </c>
      <c r="C11" s="23" t="s">
        <v>109</v>
      </c>
      <c r="D11" s="23">
        <v>9</v>
      </c>
      <c r="E11" s="23">
        <v>7</v>
      </c>
      <c r="F11" s="23">
        <v>2026</v>
      </c>
      <c r="G11" s="23" t="s">
        <v>86</v>
      </c>
      <c r="H11" s="23" t="s">
        <v>119</v>
      </c>
      <c r="I11" s="30" t="s">
        <v>103</v>
      </c>
      <c r="J11" s="30" t="s">
        <v>104</v>
      </c>
      <c r="K11" s="24" t="s">
        <v>90</v>
      </c>
      <c r="L11" s="24" t="s">
        <v>91</v>
      </c>
      <c r="M11" s="24" t="s">
        <v>92</v>
      </c>
      <c r="N11" s="24" t="s">
        <v>93</v>
      </c>
      <c r="O11" s="23"/>
      <c r="P11" s="23"/>
      <c r="Q11" s="23"/>
      <c r="R11" s="23"/>
      <c r="S11" s="26" t="str">
        <f t="shared" si="0"/>
        <v>Không</v>
      </c>
      <c r="T11" s="26" t="str">
        <f t="shared" ref="T11:U11" si="13">IF(W11&gt;0,"Có","Không")</f>
        <v>Không</v>
      </c>
      <c r="U11" s="26" t="str">
        <f t="shared" si="13"/>
        <v>Không</v>
      </c>
      <c r="V11" s="33"/>
      <c r="W11" s="33"/>
      <c r="X11" s="33"/>
      <c r="Y11" s="33"/>
      <c r="Z11" s="26" t="str">
        <f t="shared" si="1"/>
        <v>Không thực hiện</v>
      </c>
      <c r="AA11" s="26" t="e">
        <f t="shared" ca="1" si="2"/>
        <v>#NAME?</v>
      </c>
      <c r="AB11" s="40"/>
    </row>
    <row r="12" spans="1:28" ht="51" x14ac:dyDescent="0.2">
      <c r="A12" s="39">
        <f t="shared" si="12"/>
        <v>11</v>
      </c>
      <c r="B12" s="23" t="s">
        <v>100</v>
      </c>
      <c r="C12" s="23" t="s">
        <v>109</v>
      </c>
      <c r="D12" s="23">
        <v>23</v>
      </c>
      <c r="E12" s="23">
        <v>7</v>
      </c>
      <c r="F12" s="23">
        <v>2026</v>
      </c>
      <c r="G12" s="23" t="s">
        <v>86</v>
      </c>
      <c r="H12" s="23" t="s">
        <v>120</v>
      </c>
      <c r="I12" s="32" t="s">
        <v>92</v>
      </c>
      <c r="J12" s="24" t="s">
        <v>111</v>
      </c>
      <c r="K12" s="24" t="s">
        <v>90</v>
      </c>
      <c r="L12" s="24" t="s">
        <v>91</v>
      </c>
      <c r="M12" s="24" t="s">
        <v>92</v>
      </c>
      <c r="N12" s="24" t="s">
        <v>93</v>
      </c>
      <c r="O12" s="23"/>
      <c r="P12" s="23"/>
      <c r="Q12" s="23"/>
      <c r="R12" s="23"/>
      <c r="S12" s="26" t="str">
        <f t="shared" si="0"/>
        <v>Không</v>
      </c>
      <c r="T12" s="26" t="str">
        <f t="shared" ref="T12:U12" si="14">IF(W12&gt;0,"Có","Không")</f>
        <v>Không</v>
      </c>
      <c r="U12" s="26" t="str">
        <f t="shared" si="14"/>
        <v>Không</v>
      </c>
      <c r="V12" s="33"/>
      <c r="W12" s="33"/>
      <c r="X12" s="33"/>
      <c r="Y12" s="33"/>
      <c r="Z12" s="26" t="str">
        <f t="shared" si="1"/>
        <v>Không thực hiện</v>
      </c>
      <c r="AA12" s="26" t="e">
        <f t="shared" ca="1" si="2"/>
        <v>#NAME?</v>
      </c>
      <c r="AB12" s="40"/>
    </row>
    <row r="13" spans="1:28" ht="34" x14ac:dyDescent="0.2">
      <c r="A13" s="39">
        <v>12</v>
      </c>
      <c r="B13" s="23" t="s">
        <v>100</v>
      </c>
      <c r="C13" s="23" t="s">
        <v>109</v>
      </c>
      <c r="D13" s="23">
        <v>13</v>
      </c>
      <c r="E13" s="23">
        <v>8</v>
      </c>
      <c r="F13" s="23">
        <v>2026</v>
      </c>
      <c r="G13" s="23" t="s">
        <v>86</v>
      </c>
      <c r="H13" s="23" t="s">
        <v>121</v>
      </c>
      <c r="I13" s="32" t="s">
        <v>113</v>
      </c>
      <c r="J13" s="23" t="s">
        <v>104</v>
      </c>
      <c r="K13" s="24" t="s">
        <v>90</v>
      </c>
      <c r="L13" s="24" t="s">
        <v>91</v>
      </c>
      <c r="M13" s="24" t="s">
        <v>92</v>
      </c>
      <c r="N13" s="24" t="s">
        <v>93</v>
      </c>
      <c r="O13" s="23"/>
      <c r="P13" s="23"/>
      <c r="Q13" s="23"/>
      <c r="R13" s="23"/>
      <c r="S13" s="26" t="str">
        <f t="shared" si="0"/>
        <v>Không</v>
      </c>
      <c r="T13" s="26" t="str">
        <f t="shared" ref="T13:U13" si="15">IF(W13&gt;0,"Có","Không")</f>
        <v>Không</v>
      </c>
      <c r="U13" s="26" t="str">
        <f t="shared" si="15"/>
        <v>Không</v>
      </c>
      <c r="V13" s="33"/>
      <c r="W13" s="33"/>
      <c r="X13" s="33"/>
      <c r="Y13" s="33"/>
      <c r="Z13" s="26" t="str">
        <f t="shared" si="1"/>
        <v>Không thực hiện</v>
      </c>
      <c r="AA13" s="26" t="e">
        <f t="shared" ca="1" si="2"/>
        <v>#NAME?</v>
      </c>
      <c r="AB13" s="40"/>
    </row>
    <row r="14" spans="1:28" ht="34" x14ac:dyDescent="0.2">
      <c r="A14" s="39">
        <f>ROW()-1</f>
        <v>13</v>
      </c>
      <c r="B14" s="23" t="s">
        <v>100</v>
      </c>
      <c r="C14" s="23" t="s">
        <v>109</v>
      </c>
      <c r="D14" s="23">
        <v>20</v>
      </c>
      <c r="E14" s="23">
        <v>8</v>
      </c>
      <c r="F14" s="23">
        <v>2026</v>
      </c>
      <c r="G14" s="23" t="s">
        <v>86</v>
      </c>
      <c r="H14" s="23" t="s">
        <v>122</v>
      </c>
      <c r="I14" s="32" t="s">
        <v>92</v>
      </c>
      <c r="J14" s="24" t="s">
        <v>111</v>
      </c>
      <c r="K14" s="24" t="s">
        <v>90</v>
      </c>
      <c r="L14" s="24" t="s">
        <v>91</v>
      </c>
      <c r="M14" s="24" t="s">
        <v>92</v>
      </c>
      <c r="N14" s="24" t="s">
        <v>93</v>
      </c>
      <c r="O14" s="23"/>
      <c r="P14" s="23"/>
      <c r="Q14" s="23"/>
      <c r="R14" s="23"/>
      <c r="S14" s="26" t="str">
        <f t="shared" si="0"/>
        <v>Không</v>
      </c>
      <c r="T14" s="26" t="str">
        <f t="shared" ref="T14:U14" si="16">IF(W14&gt;0,"Có","Không")</f>
        <v>Không</v>
      </c>
      <c r="U14" s="26" t="str">
        <f t="shared" si="16"/>
        <v>Không</v>
      </c>
      <c r="V14" s="33"/>
      <c r="W14" s="33"/>
      <c r="X14" s="33"/>
      <c r="Y14" s="33"/>
      <c r="Z14" s="26" t="str">
        <f t="shared" si="1"/>
        <v>Không thực hiện</v>
      </c>
      <c r="AA14" s="26" t="e">
        <f t="shared" ca="1" si="2"/>
        <v>#NAME?</v>
      </c>
      <c r="AB14" s="40"/>
    </row>
    <row r="15" spans="1:28" ht="34" x14ac:dyDescent="0.2">
      <c r="A15" s="39">
        <v>14</v>
      </c>
      <c r="B15" s="23" t="s">
        <v>100</v>
      </c>
      <c r="C15" s="23" t="s">
        <v>109</v>
      </c>
      <c r="D15" s="23">
        <v>27</v>
      </c>
      <c r="E15" s="23">
        <v>8</v>
      </c>
      <c r="F15" s="23">
        <v>2026</v>
      </c>
      <c r="G15" s="23" t="s">
        <v>86</v>
      </c>
      <c r="H15" s="23" t="s">
        <v>123</v>
      </c>
      <c r="I15" s="30" t="s">
        <v>103</v>
      </c>
      <c r="J15" s="30" t="s">
        <v>104</v>
      </c>
      <c r="K15" s="24" t="s">
        <v>90</v>
      </c>
      <c r="L15" s="24" t="s">
        <v>91</v>
      </c>
      <c r="M15" s="24" t="s">
        <v>92</v>
      </c>
      <c r="N15" s="24" t="s">
        <v>93</v>
      </c>
      <c r="O15" s="23"/>
      <c r="P15" s="23"/>
      <c r="Q15" s="23"/>
      <c r="R15" s="23"/>
      <c r="S15" s="26" t="str">
        <f t="shared" si="0"/>
        <v>Không</v>
      </c>
      <c r="T15" s="26" t="str">
        <f t="shared" ref="T15:U15" si="17">IF(W15&gt;0,"Có","Không")</f>
        <v>Không</v>
      </c>
      <c r="U15" s="26" t="str">
        <f t="shared" si="17"/>
        <v>Không</v>
      </c>
      <c r="V15" s="33"/>
      <c r="W15" s="33"/>
      <c r="X15" s="33"/>
      <c r="Y15" s="33"/>
      <c r="Z15" s="26" t="str">
        <f t="shared" si="1"/>
        <v>Không thực hiện</v>
      </c>
      <c r="AA15" s="26" t="e">
        <f t="shared" ca="1" si="2"/>
        <v>#NAME?</v>
      </c>
      <c r="AB15" s="40"/>
    </row>
    <row r="16" spans="1:28" ht="34" x14ac:dyDescent="0.2">
      <c r="A16" s="39">
        <f t="shared" ref="A16:A17" si="18">ROW()-1</f>
        <v>15</v>
      </c>
      <c r="B16" s="23" t="s">
        <v>100</v>
      </c>
      <c r="C16" s="23" t="s">
        <v>109</v>
      </c>
      <c r="D16" s="23">
        <v>3</v>
      </c>
      <c r="E16" s="23">
        <v>9</v>
      </c>
      <c r="F16" s="23">
        <v>2026</v>
      </c>
      <c r="G16" s="23" t="s">
        <v>86</v>
      </c>
      <c r="H16" s="23" t="s">
        <v>124</v>
      </c>
      <c r="I16" s="24" t="s">
        <v>88</v>
      </c>
      <c r="J16" s="24" t="s">
        <v>89</v>
      </c>
      <c r="K16" s="24" t="s">
        <v>90</v>
      </c>
      <c r="L16" s="24" t="s">
        <v>91</v>
      </c>
      <c r="M16" s="24" t="s">
        <v>92</v>
      </c>
      <c r="N16" s="24" t="s">
        <v>93</v>
      </c>
      <c r="O16" s="23"/>
      <c r="P16" s="23"/>
      <c r="Q16" s="23"/>
      <c r="R16" s="23"/>
      <c r="S16" s="26" t="str">
        <f t="shared" si="0"/>
        <v>Không</v>
      </c>
      <c r="T16" s="26" t="str">
        <f t="shared" ref="T16:U16" si="19">IF(W16&gt;0,"Có","Không")</f>
        <v>Không</v>
      </c>
      <c r="U16" s="26" t="str">
        <f t="shared" si="19"/>
        <v>Không</v>
      </c>
      <c r="V16" s="33"/>
      <c r="W16" s="33"/>
      <c r="X16" s="33"/>
      <c r="Y16" s="33"/>
      <c r="Z16" s="26" t="str">
        <f t="shared" si="1"/>
        <v>Không thực hiện</v>
      </c>
      <c r="AA16" s="26" t="e">
        <f t="shared" ca="1" si="2"/>
        <v>#NAME?</v>
      </c>
      <c r="AB16" s="40"/>
    </row>
    <row r="17" spans="1:28" ht="34" x14ac:dyDescent="0.2">
      <c r="A17" s="39">
        <f t="shared" si="18"/>
        <v>16</v>
      </c>
      <c r="B17" s="23" t="s">
        <v>100</v>
      </c>
      <c r="C17" s="23" t="s">
        <v>109</v>
      </c>
      <c r="D17" s="23">
        <v>10</v>
      </c>
      <c r="E17" s="23">
        <v>9</v>
      </c>
      <c r="F17" s="23">
        <v>2026</v>
      </c>
      <c r="G17" s="23" t="s">
        <v>86</v>
      </c>
      <c r="H17" s="23" t="s">
        <v>125</v>
      </c>
      <c r="I17" s="32" t="s">
        <v>113</v>
      </c>
      <c r="J17" s="30" t="s">
        <v>104</v>
      </c>
      <c r="K17" s="24" t="s">
        <v>90</v>
      </c>
      <c r="L17" s="24" t="s">
        <v>91</v>
      </c>
      <c r="M17" s="24" t="s">
        <v>92</v>
      </c>
      <c r="N17" s="24" t="s">
        <v>93</v>
      </c>
      <c r="O17" s="23"/>
      <c r="P17" s="23"/>
      <c r="Q17" s="23"/>
      <c r="R17" s="23"/>
      <c r="S17" s="26" t="str">
        <f t="shared" si="0"/>
        <v>Không</v>
      </c>
      <c r="T17" s="26" t="str">
        <f t="shared" ref="T17:U17" si="20">IF(W17&gt;0,"Có","Không")</f>
        <v>Không</v>
      </c>
      <c r="U17" s="26" t="str">
        <f t="shared" si="20"/>
        <v>Không</v>
      </c>
      <c r="V17" s="33"/>
      <c r="W17" s="33"/>
      <c r="X17" s="33"/>
      <c r="Y17" s="33"/>
      <c r="Z17" s="26" t="str">
        <f t="shared" si="1"/>
        <v>Không thực hiện</v>
      </c>
      <c r="AA17" s="26" t="e">
        <f t="shared" ca="1" si="2"/>
        <v>#NAME?</v>
      </c>
      <c r="AB17" s="40"/>
    </row>
    <row r="18" spans="1:28" ht="51" x14ac:dyDescent="0.2">
      <c r="A18" s="39">
        <v>17</v>
      </c>
      <c r="B18" s="23" t="s">
        <v>100</v>
      </c>
      <c r="C18" s="23" t="s">
        <v>109</v>
      </c>
      <c r="D18" s="23">
        <v>17</v>
      </c>
      <c r="E18" s="23">
        <v>9</v>
      </c>
      <c r="F18" s="23">
        <v>2026</v>
      </c>
      <c r="G18" s="23" t="s">
        <v>86</v>
      </c>
      <c r="H18" s="23" t="s">
        <v>126</v>
      </c>
      <c r="I18" s="32" t="s">
        <v>92</v>
      </c>
      <c r="J18" s="24" t="s">
        <v>111</v>
      </c>
      <c r="K18" s="24" t="s">
        <v>90</v>
      </c>
      <c r="L18" s="24" t="s">
        <v>91</v>
      </c>
      <c r="M18" s="24" t="s">
        <v>92</v>
      </c>
      <c r="N18" s="24" t="s">
        <v>93</v>
      </c>
      <c r="O18" s="23"/>
      <c r="P18" s="23"/>
      <c r="Q18" s="23"/>
      <c r="R18" s="23"/>
      <c r="S18" s="26" t="str">
        <f t="shared" si="0"/>
        <v>Không</v>
      </c>
      <c r="T18" s="26" t="str">
        <f t="shared" ref="T18:U18" si="21">IF(W18&gt;0,"Có","Không")</f>
        <v>Không</v>
      </c>
      <c r="U18" s="26" t="str">
        <f t="shared" si="21"/>
        <v>Không</v>
      </c>
      <c r="V18" s="33"/>
      <c r="W18" s="33"/>
      <c r="X18" s="33"/>
      <c r="Y18" s="33"/>
      <c r="Z18" s="26" t="str">
        <f t="shared" si="1"/>
        <v>Không thực hiện</v>
      </c>
      <c r="AA18" s="26" t="e">
        <f t="shared" ca="1" si="2"/>
        <v>#NAME?</v>
      </c>
      <c r="AB18" s="40"/>
    </row>
    <row r="19" spans="1:28" ht="34" x14ac:dyDescent="0.2">
      <c r="A19" s="39">
        <f>ROW()-1</f>
        <v>18</v>
      </c>
      <c r="B19" s="23" t="s">
        <v>100</v>
      </c>
      <c r="C19" s="23" t="s">
        <v>109</v>
      </c>
      <c r="D19" s="23">
        <v>1</v>
      </c>
      <c r="E19" s="23">
        <v>10</v>
      </c>
      <c r="F19" s="23">
        <v>2026</v>
      </c>
      <c r="G19" s="23" t="s">
        <v>86</v>
      </c>
      <c r="H19" s="23" t="s">
        <v>127</v>
      </c>
      <c r="I19" s="30" t="s">
        <v>103</v>
      </c>
      <c r="J19" s="30" t="s">
        <v>104</v>
      </c>
      <c r="K19" s="24" t="s">
        <v>90</v>
      </c>
      <c r="L19" s="24" t="s">
        <v>91</v>
      </c>
      <c r="M19" s="24" t="s">
        <v>92</v>
      </c>
      <c r="N19" s="24" t="s">
        <v>93</v>
      </c>
      <c r="O19" s="23"/>
      <c r="P19" s="23"/>
      <c r="Q19" s="23"/>
      <c r="R19" s="23"/>
      <c r="S19" s="26" t="str">
        <f t="shared" si="0"/>
        <v>Không</v>
      </c>
      <c r="T19" s="26" t="str">
        <f t="shared" ref="T19:U19" si="22">IF(W19&gt;0,"Có","Không")</f>
        <v>Không</v>
      </c>
      <c r="U19" s="26" t="str">
        <f t="shared" si="22"/>
        <v>Không</v>
      </c>
      <c r="V19" s="33"/>
      <c r="W19" s="33"/>
      <c r="X19" s="33"/>
      <c r="Y19" s="33"/>
      <c r="Z19" s="26" t="str">
        <f t="shared" si="1"/>
        <v>Không thực hiện</v>
      </c>
      <c r="AA19" s="26" t="e">
        <f t="shared" ca="1" si="2"/>
        <v>#NAME?</v>
      </c>
      <c r="AB19" s="40"/>
    </row>
    <row r="20" spans="1:28" ht="34" x14ac:dyDescent="0.2">
      <c r="A20" s="39">
        <v>19</v>
      </c>
      <c r="B20" s="23" t="s">
        <v>100</v>
      </c>
      <c r="C20" s="23" t="s">
        <v>109</v>
      </c>
      <c r="D20" s="23">
        <v>8</v>
      </c>
      <c r="E20" s="23">
        <v>10</v>
      </c>
      <c r="F20" s="23">
        <v>2026</v>
      </c>
      <c r="G20" s="23" t="s">
        <v>86</v>
      </c>
      <c r="H20" s="23" t="s">
        <v>128</v>
      </c>
      <c r="I20" s="24" t="s">
        <v>88</v>
      </c>
      <c r="J20" s="24" t="s">
        <v>89</v>
      </c>
      <c r="K20" s="24" t="s">
        <v>90</v>
      </c>
      <c r="L20" s="24" t="s">
        <v>91</v>
      </c>
      <c r="M20" s="24" t="s">
        <v>92</v>
      </c>
      <c r="N20" s="24" t="s">
        <v>93</v>
      </c>
      <c r="O20" s="23"/>
      <c r="P20" s="23"/>
      <c r="Q20" s="23"/>
      <c r="R20" s="23"/>
      <c r="S20" s="26" t="str">
        <f t="shared" si="0"/>
        <v>Không</v>
      </c>
      <c r="T20" s="26" t="str">
        <f t="shared" ref="T20:U20" si="23">IF(W20&gt;0,"Có","Không")</f>
        <v>Không</v>
      </c>
      <c r="U20" s="26" t="str">
        <f t="shared" si="23"/>
        <v>Không</v>
      </c>
      <c r="V20" s="33"/>
      <c r="W20" s="33"/>
      <c r="X20" s="33"/>
      <c r="Y20" s="33"/>
      <c r="Z20" s="26" t="str">
        <f t="shared" si="1"/>
        <v>Không thực hiện</v>
      </c>
      <c r="AA20" s="26" t="e">
        <f t="shared" ca="1" si="2"/>
        <v>#NAME?</v>
      </c>
      <c r="AB20" s="40"/>
    </row>
    <row r="21" spans="1:28" ht="34" x14ac:dyDescent="0.2">
      <c r="A21" s="39">
        <f t="shared" ref="A21:A22" si="24">ROW()-1</f>
        <v>20</v>
      </c>
      <c r="B21" s="23" t="s">
        <v>100</v>
      </c>
      <c r="C21" s="23" t="s">
        <v>109</v>
      </c>
      <c r="D21" s="23">
        <v>15</v>
      </c>
      <c r="E21" s="23">
        <v>10</v>
      </c>
      <c r="F21" s="23">
        <v>2026</v>
      </c>
      <c r="G21" s="23" t="s">
        <v>86</v>
      </c>
      <c r="H21" s="23" t="s">
        <v>129</v>
      </c>
      <c r="I21" s="32" t="s">
        <v>113</v>
      </c>
      <c r="J21" s="30" t="s">
        <v>104</v>
      </c>
      <c r="K21" s="24" t="s">
        <v>90</v>
      </c>
      <c r="L21" s="24" t="s">
        <v>91</v>
      </c>
      <c r="M21" s="24" t="s">
        <v>92</v>
      </c>
      <c r="N21" s="24" t="s">
        <v>93</v>
      </c>
      <c r="O21" s="23"/>
      <c r="P21" s="23"/>
      <c r="Q21" s="23"/>
      <c r="R21" s="23"/>
      <c r="S21" s="26" t="str">
        <f t="shared" si="0"/>
        <v>Không</v>
      </c>
      <c r="T21" s="26" t="str">
        <f t="shared" ref="T21:U21" si="25">IF(W21&gt;0,"Có","Không")</f>
        <v>Không</v>
      </c>
      <c r="U21" s="26" t="str">
        <f t="shared" si="25"/>
        <v>Không</v>
      </c>
      <c r="V21" s="33"/>
      <c r="W21" s="33"/>
      <c r="X21" s="33"/>
      <c r="Y21" s="33"/>
      <c r="Z21" s="26" t="str">
        <f t="shared" si="1"/>
        <v>Không thực hiện</v>
      </c>
      <c r="AA21" s="26" t="e">
        <f t="shared" ca="1" si="2"/>
        <v>#NAME?</v>
      </c>
      <c r="AB21" s="40"/>
    </row>
    <row r="22" spans="1:28" ht="34" x14ac:dyDescent="0.2">
      <c r="A22" s="39">
        <f t="shared" si="24"/>
        <v>21</v>
      </c>
      <c r="B22" s="23" t="s">
        <v>100</v>
      </c>
      <c r="C22" s="23" t="s">
        <v>109</v>
      </c>
      <c r="D22" s="23">
        <v>22</v>
      </c>
      <c r="E22" s="23">
        <v>10</v>
      </c>
      <c r="F22" s="23">
        <v>2026</v>
      </c>
      <c r="G22" s="23" t="s">
        <v>86</v>
      </c>
      <c r="H22" s="23" t="s">
        <v>130</v>
      </c>
      <c r="I22" s="32" t="s">
        <v>92</v>
      </c>
      <c r="J22" s="24" t="s">
        <v>111</v>
      </c>
      <c r="K22" s="24" t="s">
        <v>90</v>
      </c>
      <c r="L22" s="24" t="s">
        <v>91</v>
      </c>
      <c r="M22" s="24" t="s">
        <v>92</v>
      </c>
      <c r="N22" s="24" t="s">
        <v>93</v>
      </c>
      <c r="O22" s="23"/>
      <c r="P22" s="23"/>
      <c r="Q22" s="23"/>
      <c r="R22" s="23"/>
      <c r="S22" s="26" t="str">
        <f t="shared" si="0"/>
        <v>Không</v>
      </c>
      <c r="T22" s="26" t="str">
        <f t="shared" ref="T22:U22" si="26">IF(W22&gt;0,"Có","Không")</f>
        <v>Không</v>
      </c>
      <c r="U22" s="26" t="str">
        <f t="shared" si="26"/>
        <v>Không</v>
      </c>
      <c r="V22" s="33"/>
      <c r="W22" s="33"/>
      <c r="X22" s="33"/>
      <c r="Y22" s="33"/>
      <c r="Z22" s="26" t="str">
        <f t="shared" si="1"/>
        <v>Không thực hiện</v>
      </c>
      <c r="AA22" s="26" t="e">
        <f t="shared" ca="1" si="2"/>
        <v>#NAME?</v>
      </c>
      <c r="AB22" s="40"/>
    </row>
    <row r="23" spans="1:28" ht="34" x14ac:dyDescent="0.2">
      <c r="A23" s="39">
        <v>22</v>
      </c>
      <c r="B23" s="23" t="s">
        <v>100</v>
      </c>
      <c r="C23" s="23" t="s">
        <v>109</v>
      </c>
      <c r="D23" s="23">
        <v>5</v>
      </c>
      <c r="E23" s="23">
        <v>11</v>
      </c>
      <c r="F23" s="23">
        <v>2026</v>
      </c>
      <c r="G23" s="23" t="s">
        <v>86</v>
      </c>
      <c r="H23" s="23" t="s">
        <v>131</v>
      </c>
      <c r="I23" s="30" t="s">
        <v>103</v>
      </c>
      <c r="J23" s="30" t="s">
        <v>104</v>
      </c>
      <c r="K23" s="24" t="s">
        <v>90</v>
      </c>
      <c r="L23" s="24" t="s">
        <v>91</v>
      </c>
      <c r="M23" s="24" t="s">
        <v>92</v>
      </c>
      <c r="N23" s="24" t="s">
        <v>93</v>
      </c>
      <c r="O23" s="23"/>
      <c r="P23" s="23"/>
      <c r="Q23" s="23"/>
      <c r="R23" s="23"/>
      <c r="S23" s="26" t="str">
        <f t="shared" si="0"/>
        <v>Không</v>
      </c>
      <c r="T23" s="26" t="str">
        <f t="shared" ref="T23:U23" si="27">IF(W23&gt;0,"Có","Không")</f>
        <v>Không</v>
      </c>
      <c r="U23" s="26" t="str">
        <f t="shared" si="27"/>
        <v>Không</v>
      </c>
      <c r="V23" s="33"/>
      <c r="W23" s="33"/>
      <c r="X23" s="33"/>
      <c r="Y23" s="33"/>
      <c r="Z23" s="26" t="str">
        <f t="shared" si="1"/>
        <v>Không thực hiện</v>
      </c>
      <c r="AA23" s="26" t="e">
        <f t="shared" ca="1" si="2"/>
        <v>#NAME?</v>
      </c>
      <c r="AB23" s="40"/>
    </row>
    <row r="24" spans="1:28" ht="34" x14ac:dyDescent="0.2">
      <c r="A24" s="39">
        <v>23</v>
      </c>
      <c r="B24" s="23" t="s">
        <v>100</v>
      </c>
      <c r="C24" s="23" t="s">
        <v>109</v>
      </c>
      <c r="D24" s="23">
        <v>12</v>
      </c>
      <c r="E24" s="23">
        <v>11</v>
      </c>
      <c r="F24" s="23">
        <v>2026</v>
      </c>
      <c r="G24" s="23" t="s">
        <v>86</v>
      </c>
      <c r="H24" s="23" t="s">
        <v>132</v>
      </c>
      <c r="I24" s="24" t="s">
        <v>88</v>
      </c>
      <c r="J24" s="24" t="s">
        <v>89</v>
      </c>
      <c r="K24" s="24" t="s">
        <v>90</v>
      </c>
      <c r="L24" s="24" t="s">
        <v>91</v>
      </c>
      <c r="M24" s="24" t="s">
        <v>92</v>
      </c>
      <c r="N24" s="24" t="s">
        <v>93</v>
      </c>
      <c r="O24" s="23"/>
      <c r="P24" s="23"/>
      <c r="Q24" s="23"/>
      <c r="R24" s="23"/>
      <c r="S24" s="26" t="str">
        <f t="shared" si="0"/>
        <v>Không</v>
      </c>
      <c r="T24" s="26" t="str">
        <f t="shared" ref="T24:U24" si="28">IF(W24&gt;0,"Có","Không")</f>
        <v>Không</v>
      </c>
      <c r="U24" s="26" t="str">
        <f t="shared" si="28"/>
        <v>Không</v>
      </c>
      <c r="V24" s="33"/>
      <c r="W24" s="33"/>
      <c r="X24" s="33"/>
      <c r="Y24" s="33"/>
      <c r="Z24" s="26" t="str">
        <f t="shared" si="1"/>
        <v>Không thực hiện</v>
      </c>
      <c r="AA24" s="26" t="e">
        <f t="shared" ca="1" si="2"/>
        <v>#NAME?</v>
      </c>
      <c r="AB24" s="40"/>
    </row>
    <row r="25" spans="1:28" ht="34" x14ac:dyDescent="0.2">
      <c r="A25" s="39">
        <v>24</v>
      </c>
      <c r="B25" s="23" t="s">
        <v>100</v>
      </c>
      <c r="C25" s="23" t="s">
        <v>109</v>
      </c>
      <c r="D25" s="23">
        <v>3</v>
      </c>
      <c r="E25" s="23">
        <v>12</v>
      </c>
      <c r="F25" s="23">
        <v>2026</v>
      </c>
      <c r="G25" s="23" t="s">
        <v>86</v>
      </c>
      <c r="H25" s="23" t="s">
        <v>133</v>
      </c>
      <c r="I25" s="32" t="s">
        <v>113</v>
      </c>
      <c r="J25" s="30" t="s">
        <v>104</v>
      </c>
      <c r="K25" s="24" t="s">
        <v>90</v>
      </c>
      <c r="L25" s="24" t="s">
        <v>91</v>
      </c>
      <c r="M25" s="24" t="s">
        <v>92</v>
      </c>
      <c r="N25" s="24" t="s">
        <v>93</v>
      </c>
      <c r="O25" s="23"/>
      <c r="P25" s="23"/>
      <c r="Q25" s="23"/>
      <c r="R25" s="23"/>
      <c r="S25" s="26" t="str">
        <f t="shared" si="0"/>
        <v>Không</v>
      </c>
      <c r="T25" s="26" t="str">
        <f t="shared" ref="T25:U25" si="29">IF(W25&gt;0,"Có","Không")</f>
        <v>Không</v>
      </c>
      <c r="U25" s="26" t="str">
        <f t="shared" si="29"/>
        <v>Không</v>
      </c>
      <c r="V25" s="33"/>
      <c r="W25" s="33"/>
      <c r="X25" s="33"/>
      <c r="Y25" s="33"/>
      <c r="Z25" s="26" t="str">
        <f t="shared" si="1"/>
        <v>Không thực hiện</v>
      </c>
      <c r="AA25" s="26" t="e">
        <f t="shared" ca="1" si="2"/>
        <v>#NAME?</v>
      </c>
      <c r="AB25" s="40"/>
    </row>
    <row r="26" spans="1:28" ht="34" x14ac:dyDescent="0.2">
      <c r="A26" s="47">
        <v>25</v>
      </c>
      <c r="B26" s="48" t="s">
        <v>100</v>
      </c>
      <c r="C26" s="48" t="s">
        <v>109</v>
      </c>
      <c r="D26" s="48">
        <v>10</v>
      </c>
      <c r="E26" s="48">
        <v>12</v>
      </c>
      <c r="F26" s="23">
        <v>2026</v>
      </c>
      <c r="G26" s="48" t="s">
        <v>86</v>
      </c>
      <c r="H26" s="48" t="s">
        <v>134</v>
      </c>
      <c r="I26" s="49" t="s">
        <v>92</v>
      </c>
      <c r="J26" s="50" t="s">
        <v>111</v>
      </c>
      <c r="K26" s="50" t="s">
        <v>90</v>
      </c>
      <c r="L26" s="50" t="s">
        <v>91</v>
      </c>
      <c r="M26" s="50" t="s">
        <v>92</v>
      </c>
      <c r="N26" s="50" t="s">
        <v>93</v>
      </c>
      <c r="O26" s="48"/>
      <c r="P26" s="48"/>
      <c r="Q26" s="48"/>
      <c r="R26" s="48"/>
      <c r="S26" s="51" t="str">
        <f t="shared" si="0"/>
        <v>Không</v>
      </c>
      <c r="T26" s="51" t="str">
        <f t="shared" ref="T26:U26" si="30">IF(W26&gt;0,"Có","Không")</f>
        <v>Không</v>
      </c>
      <c r="U26" s="51" t="str">
        <f t="shared" si="30"/>
        <v>Không</v>
      </c>
      <c r="V26" s="52"/>
      <c r="W26" s="52"/>
      <c r="X26" s="52"/>
      <c r="Y26" s="52"/>
      <c r="Z26" s="51" t="str">
        <f t="shared" si="1"/>
        <v>Không thực hiện</v>
      </c>
      <c r="AA26" s="51" t="e">
        <f t="shared" ca="1" si="2"/>
        <v>#NAME?</v>
      </c>
      <c r="AB26" s="53"/>
    </row>
    <row r="27" spans="1:28" ht="16" x14ac:dyDescent="0.2">
      <c r="A27" s="34"/>
      <c r="B27" s="34"/>
      <c r="C27" s="34"/>
      <c r="D27" s="35"/>
      <c r="E27" s="35"/>
      <c r="F27" s="35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6"/>
      <c r="T27" s="36"/>
      <c r="U27" s="36"/>
      <c r="V27" s="37"/>
      <c r="W27" s="37"/>
      <c r="X27" s="37"/>
      <c r="Y27" s="37"/>
      <c r="Z27" s="36"/>
      <c r="AA27" s="38"/>
      <c r="AB27" s="34"/>
    </row>
    <row r="28" spans="1:28" ht="16" x14ac:dyDescent="0.2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6"/>
      <c r="T28" s="36"/>
      <c r="U28" s="36"/>
      <c r="V28" s="37"/>
      <c r="W28" s="37"/>
      <c r="X28" s="37"/>
      <c r="Y28" s="37"/>
      <c r="Z28" s="36"/>
      <c r="AA28" s="38"/>
      <c r="AB28" s="34"/>
    </row>
    <row r="29" spans="1:28" ht="16" x14ac:dyDescent="0.2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6"/>
      <c r="T29" s="36"/>
      <c r="U29" s="36"/>
      <c r="V29" s="37"/>
      <c r="W29" s="37"/>
      <c r="X29" s="37"/>
      <c r="Y29" s="37"/>
      <c r="Z29" s="36"/>
      <c r="AA29" s="38"/>
      <c r="AB29" s="34"/>
    </row>
    <row r="30" spans="1:28" ht="16" x14ac:dyDescent="0.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8"/>
      <c r="T30" s="38"/>
      <c r="U30" s="38"/>
      <c r="V30" s="37"/>
      <c r="W30" s="37"/>
      <c r="X30" s="37"/>
      <c r="Y30" s="37"/>
      <c r="Z30" s="36"/>
      <c r="AA30" s="38"/>
      <c r="AB30" s="34"/>
    </row>
    <row r="31" spans="1:28" ht="16" x14ac:dyDescent="0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8"/>
      <c r="T31" s="38"/>
      <c r="U31" s="38"/>
      <c r="V31" s="37"/>
      <c r="W31" s="37"/>
      <c r="X31" s="37"/>
      <c r="Y31" s="37"/>
      <c r="Z31" s="36"/>
      <c r="AA31" s="38"/>
      <c r="AB31" s="34"/>
    </row>
    <row r="32" spans="1:28" ht="16" x14ac:dyDescent="0.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8"/>
      <c r="T32" s="38"/>
      <c r="U32" s="38"/>
      <c r="V32" s="37"/>
      <c r="W32" s="37"/>
      <c r="X32" s="37"/>
      <c r="Y32" s="37"/>
      <c r="Z32" s="38"/>
      <c r="AA32" s="38"/>
      <c r="AB32" s="34"/>
    </row>
    <row r="33" spans="1:28" ht="16" x14ac:dyDescent="0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8"/>
      <c r="T33" s="38"/>
      <c r="U33" s="38"/>
      <c r="V33" s="37"/>
      <c r="W33" s="37"/>
      <c r="X33" s="37"/>
      <c r="Y33" s="37"/>
      <c r="Z33" s="38"/>
      <c r="AA33" s="38"/>
      <c r="AB33" s="34"/>
    </row>
    <row r="34" spans="1:28" ht="16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8"/>
      <c r="T34" s="38"/>
      <c r="U34" s="38"/>
      <c r="V34" s="37"/>
      <c r="W34" s="37"/>
      <c r="X34" s="37"/>
      <c r="Y34" s="37"/>
      <c r="Z34" s="38"/>
      <c r="AA34" s="38"/>
      <c r="AB34" s="34"/>
    </row>
    <row r="35" spans="1:28" ht="16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8"/>
      <c r="T35" s="38"/>
      <c r="U35" s="38"/>
      <c r="V35" s="37"/>
      <c r="W35" s="37"/>
      <c r="X35" s="37"/>
      <c r="Y35" s="37"/>
      <c r="Z35" s="38"/>
      <c r="AA35" s="38"/>
      <c r="AB35" s="34"/>
    </row>
    <row r="36" spans="1:28" ht="15.75" customHeight="1" x14ac:dyDescent="0.2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8"/>
      <c r="T36" s="38"/>
      <c r="U36" s="38"/>
      <c r="V36" s="37"/>
      <c r="W36" s="37"/>
      <c r="X36" s="37"/>
      <c r="Y36" s="37"/>
      <c r="Z36" s="38"/>
      <c r="AA36" s="38"/>
      <c r="AB36" s="34"/>
    </row>
    <row r="37" spans="1:28" ht="15.75" customHeight="1" x14ac:dyDescent="0.2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8"/>
      <c r="T37" s="38"/>
      <c r="U37" s="38"/>
      <c r="V37" s="37"/>
      <c r="W37" s="37"/>
      <c r="X37" s="37"/>
      <c r="Y37" s="37"/>
      <c r="Z37" s="38"/>
      <c r="AA37" s="38"/>
      <c r="AB37" s="34"/>
    </row>
  </sheetData>
  <dataValidations count="2">
    <dataValidation type="list" allowBlank="1" sqref="B2:B26" xr:uid="{00000000-0002-0000-0100-000000000000}">
      <formula1>"Thứ Hai,Thứ Ba,Thứ Tư,Thứ Năm,Thứ Sáu,Thứ Bảy"</formula1>
    </dataValidation>
    <dataValidation type="list" allowBlank="1" sqref="L2:L26" xr:uid="{00000000-0002-0000-0100-000001000000}">
      <formula1>"Phòng Hành chính khoa,Hội trường 8A,Phòng họp 1A,Phòng họp TGĐ,Phòng họp Chủ tịch"</formula1>
    </dataValidation>
  </dataValidations>
  <hyperlinks>
    <hyperlink ref="V2" r:id="rId1" xr:uid="{00000000-0004-0000-0100-000000000000}"/>
    <hyperlink ref="W2" r:id="rId2" xr:uid="{00000000-0004-0000-0100-000001000000}"/>
    <hyperlink ref="X2" r:id="rId3" location="slide=id.g3dffa988418_1_44" xr:uid="{00000000-0004-0000-0100-000002000000}"/>
    <hyperlink ref="Y2" r:id="rId4" xr:uid="{00000000-0004-0000-0100-000003000000}"/>
    <hyperlink ref="V3" r:id="rId5" xr:uid="{00000000-0004-0000-0100-000004000000}"/>
    <hyperlink ref="W3" r:id="rId6" xr:uid="{00000000-0004-0000-0100-000005000000}"/>
    <hyperlink ref="X3" r:id="rId7" xr:uid="{00000000-0004-0000-0100-000006000000}"/>
    <hyperlink ref="Y3" r:id="rId8" xr:uid="{00000000-0004-0000-0100-000007000000}"/>
  </hyperlinks>
  <pageMargins left="0.7" right="0.7" top="0.75" bottom="0.75" header="0" footer="0"/>
  <pageSetup fitToHeight="0" orientation="landscape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trình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2026-05-21T09:06:43Z</dcterms:modified>
</cp:coreProperties>
</file>