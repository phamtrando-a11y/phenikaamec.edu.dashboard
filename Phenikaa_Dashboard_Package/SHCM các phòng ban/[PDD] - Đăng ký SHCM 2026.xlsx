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/>
  <mc:AlternateContent xmlns:mc="http://schemas.openxmlformats.org/markup-compatibility/2006">
    <mc:Choice Requires="x15">
      <x15ac:absPath xmlns:x15ac="http://schemas.microsoft.com/office/spreadsheetml/2010/11/ac" url="https://d.docs.live.net/f9ccc665e832348c/Phenikaa/SHCM các phòng ban/"/>
    </mc:Choice>
  </mc:AlternateContent>
  <xr:revisionPtr revIDLastSave="10" documentId="11_F1E17E316E23F353E06523EF6104A25EC366A171" xr6:coauthVersionLast="47" xr6:coauthVersionMax="47" xr10:uidLastSave="{087B7545-15F0-4D41-8C6C-DE9310ED8D4C}"/>
  <bookViews>
    <workbookView xWindow="0" yWindow="660" windowWidth="22920" windowHeight="13760" xr2:uid="{00000000-000D-0000-FFFF-FFFF00000000}"/>
  </bookViews>
  <sheets>
    <sheet name="Kế hoạch" sheetId="1" r:id="rId1"/>
    <sheet name="Quy trình" sheetId="2" r:id="rId2"/>
  </sheets>
  <definedNames>
    <definedName name="_xlnm._FilterDatabase" localSheetId="0" hidden="1">'Kế hoạch'!$A$1:$AB$22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tEHK7pYOtV0pqeZfFafMRjICfXYBIS10i58u7hjY48="/>
    </ext>
  </extLst>
</workbook>
</file>

<file path=xl/calcChain.xml><?xml version="1.0" encoding="utf-8"?>
<calcChain xmlns="http://schemas.openxmlformats.org/spreadsheetml/2006/main">
  <c r="AA22" i="1" l="1"/>
  <c r="U22" i="1"/>
  <c r="T22" i="1"/>
  <c r="S22" i="1"/>
  <c r="AA21" i="1"/>
  <c r="U21" i="1"/>
  <c r="T21" i="1"/>
  <c r="S21" i="1"/>
  <c r="AA20" i="1"/>
  <c r="U20" i="1"/>
  <c r="T20" i="1"/>
  <c r="S20" i="1"/>
  <c r="AA19" i="1"/>
  <c r="U19" i="1"/>
  <c r="T19" i="1"/>
  <c r="S19" i="1"/>
  <c r="AA18" i="1"/>
  <c r="T18" i="1"/>
  <c r="AA17" i="1"/>
  <c r="T17" i="1"/>
  <c r="AA16" i="1"/>
  <c r="T16" i="1"/>
  <c r="AA15" i="1"/>
  <c r="T15" i="1"/>
  <c r="AA14" i="1"/>
  <c r="T14" i="1"/>
  <c r="AA13" i="1"/>
  <c r="T13" i="1"/>
  <c r="AA12" i="1"/>
  <c r="T12" i="1"/>
  <c r="AA11" i="1"/>
  <c r="Z11" i="1"/>
  <c r="T11" i="1"/>
  <c r="AA10" i="1"/>
  <c r="Z10" i="1"/>
  <c r="T10" i="1"/>
  <c r="AA9" i="1"/>
  <c r="T9" i="1"/>
  <c r="AA8" i="1"/>
  <c r="Z8" i="1"/>
  <c r="T8" i="1"/>
  <c r="AA7" i="1"/>
  <c r="Z7" i="1"/>
  <c r="T7" i="1"/>
  <c r="AA6" i="1"/>
  <c r="Z6" i="1"/>
  <c r="T6" i="1"/>
  <c r="AA5" i="1"/>
  <c r="Z5" i="1"/>
  <c r="T5" i="1"/>
  <c r="AA4" i="1"/>
  <c r="Z4" i="1"/>
  <c r="U4" i="1"/>
  <c r="T4" i="1"/>
  <c r="S4" i="1"/>
  <c r="AA3" i="1"/>
  <c r="Z3" i="1"/>
  <c r="U3" i="1"/>
  <c r="T3" i="1"/>
  <c r="S3" i="1"/>
  <c r="AA2" i="1"/>
  <c r="Z2" i="1"/>
  <c r="U2" i="1"/>
  <c r="T2" i="1"/>
  <c r="S2" i="1"/>
</calcChain>
</file>

<file path=xl/sharedStrings.xml><?xml version="1.0" encoding="utf-8"?>
<sst xmlns="http://schemas.openxmlformats.org/spreadsheetml/2006/main" count="421" uniqueCount="188">
  <si>
    <t>STT</t>
  </si>
  <si>
    <t>THỨ</t>
  </si>
  <si>
    <t>Ngày</t>
  </si>
  <si>
    <t>Tháng</t>
  </si>
  <si>
    <t>Năm</t>
  </si>
  <si>
    <t>NỘI DUNG/CHƯƠNG TRÌNH</t>
  </si>
  <si>
    <t>ĐỐI TƯỢNG</t>
  </si>
  <si>
    <t>ĐỊA ĐIỂM</t>
  </si>
  <si>
    <t>LIÊN HỆ</t>
  </si>
  <si>
    <t>Số học viên tham gia</t>
  </si>
  <si>
    <t>Số Học viên đạt</t>
  </si>
  <si>
    <t>Số HV không đạt</t>
  </si>
  <si>
    <t>Đúng form post test điểm danh (ít nhất 10 câu): Có/Không</t>
  </si>
  <si>
    <t>Có bài post test</t>
  </si>
  <si>
    <t>Có bảng kiểm</t>
  </si>
  <si>
    <t>Có bài báo cáo</t>
  </si>
  <si>
    <t>Gắn link Điểm danh và post test</t>
  </si>
  <si>
    <t>Gắn link bảng kiểm đào tạo nội bộ</t>
  </si>
  <si>
    <t>Gắn link bài báo cáo</t>
  </si>
  <si>
    <t>Gắn link video buổi đào tạo</t>
  </si>
  <si>
    <t>Tình trạng thực hiện</t>
  </si>
  <si>
    <t>Cập nhật calendar</t>
  </si>
  <si>
    <t>Lý do hoãn/hủy/ghi chú</t>
  </si>
  <si>
    <t>Thứ Ba</t>
  </si>
  <si>
    <t>15h00 - 16h00</t>
  </si>
  <si>
    <t>Phòng Điều dưỡng</t>
  </si>
  <si>
    <t>Hướng dẫn tư vấn GDSK cho NB và thân nhân</t>
  </si>
  <si>
    <t>Phạm Thị Thùy</t>
  </si>
  <si>
    <t>TS. Phạm Văn Trường</t>
  </si>
  <si>
    <t>Điều dưỡng/KTV/HS</t>
  </si>
  <si>
    <t>Khoa Nội TH</t>
  </si>
  <si>
    <t>5 câu</t>
  </si>
  <si>
    <t>https://docs.google.com/spreadsheets/d/1RDNmJ-84m0WJ_aB8N-hEcv5Adab6v9J3l8wLkR7oLVA/edit?gid=1541212822#gid=1541212822</t>
  </si>
  <si>
    <t>https://docs.google.com/presentation/d/1xoifaM7VbeZuQuxp553VTcF9KN-Pu-ekF07BcKOWWsI/edit?slide=id.p1#slide=id.p1</t>
  </si>
  <si>
    <t>Thứ Năm</t>
  </si>
  <si>
    <t>13h30 - 15h30</t>
  </si>
  <si>
    <t>Tiêm truyền an toàn và thực hành chăm sóc buồng tiêm</t>
  </si>
  <si>
    <t>Trần Thị Thanh Ngọc - Công ty BD Việt Nam</t>
  </si>
  <si>
    <t>Hội trường 8A</t>
  </si>
  <si>
    <t>ThS. Nguyễn Thị Quyên</t>
  </si>
  <si>
    <t>0982165348</t>
  </si>
  <si>
    <t>https://docs.google.com/spreadsheets/d/1rDEYXGjfIpqWleutQksH5PORBnm5-mbKFDU34oyzR70/edit?resourcekey=&amp;gid=13037715#gid=13037715</t>
  </si>
  <si>
    <t>https://docs.google.com/presentation/d/1lSJBwvj0Ey3E1BzosDL1ERAYielmVW51vjYiZRTqIAw/edit?slide=id.p1#slide=id.p1</t>
  </si>
  <si>
    <t>Thứ Sáu</t>
  </si>
  <si>
    <t>13h30 - 14h30</t>
  </si>
  <si>
    <t>Hướng dẫn thực hiện ghi chép phiếu định nhóm máu và truyền máu</t>
  </si>
  <si>
    <t>TT Tim mạch</t>
  </si>
  <si>
    <t>https://docs.google.com/forms/d/11IHzPlFoVXYzuEfa2_3mnChQ1kawNlKOxppgGXyQy6s/edit?ts=69f56481#responses</t>
  </si>
  <si>
    <t>https://docs.google.com/presentation/d/1VC0riDqGQQIPbnIpKcaVIy4oLLVlFE85dU28VPsWk9U/edit?slide=id.p1#slide=id.p1</t>
  </si>
  <si>
    <t>Thứ Hai</t>
  </si>
  <si>
    <t>15h30 - 16h30</t>
  </si>
  <si>
    <t>Khai mạc lớp Văn hóa an toàn và chăm sóc NB toàn diện
Tổng quan về hoạt động điều dưỡng theo quy định thông tư 31/2021/TT-BYT</t>
  </si>
  <si>
    <t>Phạm Văn Trường</t>
  </si>
  <si>
    <t>Phòng họp 5A</t>
  </si>
  <si>
    <t>Cao Thị Nhung</t>
  </si>
  <si>
    <t>0385938560</t>
  </si>
  <si>
    <t>Cập nhật vào kết thúc chương trình học</t>
  </si>
  <si>
    <t>Danh sách điểm danh lớp CME ngày 4 tháng 5 năm 2026.xlsx</t>
  </si>
  <si>
    <t>Khai-mạc-Chăm-sóc-toàn-diện-_CME-28T_ PPT</t>
  </si>
  <si>
    <t>Thứ Tư</t>
  </si>
  <si>
    <t>Kỹ năng giao tiếp ứng xử</t>
  </si>
  <si>
    <t>Nguyễn Thị Linh</t>
  </si>
  <si>
    <t>Hà Duy Nam</t>
  </si>
  <si>
    <t>Không</t>
  </si>
  <si>
    <t>Không có posttest</t>
  </si>
  <si>
    <t>Có</t>
  </si>
  <si>
    <t>https://docs.google.com/spreadsheets/d/1eP43uLALJNGg_njJ97iw80SSCTmMB3kGHT4ghOESOgg/edit?usp=sharing</t>
  </si>
  <si>
    <t>Đào tạo Nâng cao Chất lượng dịch vụ - Ghi nhận các nội dung khối ĐD.pptx</t>
  </si>
  <si>
    <t>15h00-16h30</t>
  </si>
  <si>
    <t>Lập kế hoạch, thực hiện và đánh giá truyền thông GDSK</t>
  </si>
  <si>
    <t>Vũ Hải Yến</t>
  </si>
  <si>
    <t>https://docs.google.com/spreadsheets/d/1H4vEHZWHeaEzfAz6JOXnFkeTTVmKsDoCwIHM_kNDde0/edit?gid=0#gid=0</t>
  </si>
  <si>
    <t>https://docs.google.com/presentation/d/1BVLCW-wCqwvOjOXDzPQmYyggQ6G5eQ3sUApNNI3WncU/edit?slide=id.p1#slide=id.p1</t>
  </si>
  <si>
    <t>Tâm lý người bệnh</t>
  </si>
  <si>
    <t>ThS. Bạch Thị Mai</t>
  </si>
  <si>
    <r>
      <rPr>
        <u/>
        <sz val="11"/>
        <color rgb="FF1155CC"/>
        <rFont val="Calibri"/>
        <family val="2"/>
      </rPr>
      <t>Điểm danh văn hóa an toàn và chăm sóc NB toàn diện - Google Trang tính</t>
    </r>
  </si>
  <si>
    <t>https://docs.google.com/presentation/d/1cW08NU7-SVj10VBYxjKuDlEP8q_BIt_g0XnMyQnjnF0/edit?slide=id.p1#slide=id.p1</t>
  </si>
  <si>
    <t>15h00-16h31</t>
  </si>
  <si>
    <t>Đào tạo thực hiện giáo dục sức khỏe cho NB và thân nhân</t>
  </si>
  <si>
    <t>Điều dưỡng/HS</t>
  </si>
  <si>
    <t>Khoa Sản 4B</t>
  </si>
  <si>
    <t>https://docs.google.com/forms/d/1DXh_a1HJU7PucRUHFA_brtucMLhj_6hYhW0QVmJLru4/edit</t>
  </si>
  <si>
    <t>https://docs.google.com/presentation/d/1fcRumeqvERFu9By2QqL9uxUtyBv27aMl/edit?usp=sharing&amp;ouid=114184320866681607220&amp;rtpof=true&amp;sd=true</t>
  </si>
  <si>
    <t>Tập nằm đúng tư thế cho người bệnh liệt nửa người</t>
  </si>
  <si>
    <t>CN. Trần Quang Huy</t>
  </si>
  <si>
    <t>https://docs.google.com/spreadsheets/d/1H4vEHZWHeaEzfAz6JOXnFkeTTVmKsDoCwIHM_kNDde0/edit?gid=224026351#gid=224026351</t>
  </si>
  <si>
    <t>https://docs.google.com/presentation/d/14oBJ-wYoDOLaY8u7ibEX7MFFUIsh6POk9qOhk481OeM/edit?slide=id.p5#slide=id.p5</t>
  </si>
  <si>
    <t>Một số lỗi thường gặp trong lấy mẫu xét nghiệm</t>
  </si>
  <si>
    <t>CN. Vũ Thành Chung</t>
  </si>
  <si>
    <t>https://docs.google.com/presentation/d/1sR7t4P7gtVtwq_8e8L7c66JsVGrFcoUcSVv46DqlZdM/edit?usp=sharing</t>
  </si>
  <si>
    <t>Kỹ năng giao tiếp với đồng nghiệp</t>
  </si>
  <si>
    <t>ThS. Đào Quỳnh Hương</t>
  </si>
  <si>
    <t>https://docs.google.com/presentation/d/1MBF1XUKNiSraorhfrXJPwulIV1kuq-8PyvgjuNAMTdQ/edit?slide=id.p1#slide=id.p1</t>
  </si>
  <si>
    <t>Chưa thực hiện</t>
  </si>
  <si>
    <t>13h00-16h00</t>
  </si>
  <si>
    <t>Biến chứng liên quan đến truyền tĩnh mạch ngoại vi và cách phòng ngừa</t>
  </si>
  <si>
    <t>CN. Trần Văn Chanh</t>
  </si>
  <si>
    <t>https://docs.google.com/presentation/d/1JBKBEh__nvKeC_0n-5o--NI0ILErmvG3EDDjTjOneXE/edit?slide=id.p1#slide=id.p1</t>
  </si>
  <si>
    <t>13h30-16h30</t>
  </si>
  <si>
    <t>Dinh dưỡng cho người bệnh mắc 1 số bệnh mạn tính (Tiểu đường, tim mạch, COPD)</t>
  </si>
  <si>
    <t>ThS. CNDD Khương Thị Trà My</t>
  </si>
  <si>
    <t>5S trong bệnh viện</t>
  </si>
  <si>
    <t>CN. Nguyễn Thị Huyền Trang (QLCL)</t>
  </si>
  <si>
    <t>0385938561</t>
  </si>
  <si>
    <t>Văn hóa an toàn Bệnh viện - Nhân diện sự cố</t>
  </si>
  <si>
    <t>ThS. Bùi Thu Hiền (QLCL)</t>
  </si>
  <si>
    <t>16h30-17h30</t>
  </si>
  <si>
    <t>Kiểm tra cuối khóa, bế mạc</t>
  </si>
  <si>
    <r>
      <rPr>
        <u/>
        <sz val="11"/>
        <color rgb="FF1155CC"/>
        <rFont val="Calibri"/>
        <family val="2"/>
      </rPr>
      <t>Bài thi lượng giá cuối khóa " Văn hóa an toàn và chăm sóc NB toàn diện" - Google Biểu mẫu</t>
    </r>
  </si>
  <si>
    <t>Cập nhật trong chăm sóc vết thương</t>
  </si>
  <si>
    <t>ThS. Vũ Huy Hoàng - BV Vinmec Times City</t>
  </si>
  <si>
    <t>Nhiễm khuẩn huyết</t>
  </si>
  <si>
    <t>Phòng Điều dưỡng - BV ĐH Y Hà Nội</t>
  </si>
  <si>
    <t>0982165352</t>
  </si>
  <si>
    <t>Chăm sóc người bệnh toàn diện và chính sách của bộ Y tế trong CSNBTD</t>
  </si>
  <si>
    <t>ThS. Hà Thị Kim Phượng - TP Điều dưỡng, Dinh Dưỡng, KSNK- BYT</t>
  </si>
  <si>
    <t>0982165349</t>
  </si>
  <si>
    <t>Văn hóa an toàn và chăm sóc người bệnh toàn diện</t>
  </si>
  <si>
    <t xml:space="preserve">Theo chương trình đã phê duyệt và kế hoạch tổ chức hàng tháng
</t>
  </si>
  <si>
    <t>Theo kế hoạch</t>
  </si>
  <si>
    <t>0982165355</t>
  </si>
  <si>
    <t>Nhóm quy trình</t>
  </si>
  <si>
    <t>Nội dung công việc</t>
  </si>
  <si>
    <t>Mô tả chi tiết</t>
  </si>
  <si>
    <t>Trạng thái</t>
  </si>
  <si>
    <t>Ghi chú</t>
  </si>
  <si>
    <t>Link biểu mẫu</t>
  </si>
  <si>
    <t>Lập kế hoạch</t>
  </si>
  <si>
    <t>Xây dựng kế hoạch SHCM</t>
  </si>
  <si>
    <t>Xây dựng kế hoạch SHCM đến hết năm 2026 theo định hướng chuyên môn</t>
  </si>
  <si>
    <t>Tải biểu mẫu đăng ký</t>
  </si>
  <si>
    <t>Tải biểu mẫu đăng ký SHCM theo quy định</t>
  </si>
  <si>
    <t>Đang thực hiện</t>
  </si>
  <si>
    <t>Cần cập nhật đến 12/2026</t>
  </si>
  <si>
    <t>Điền thông tin kế hoạch</t>
  </si>
  <si>
    <t>Điền đầy đủ các buổi SHCM dự kiến đến hết năm 2026</t>
  </si>
  <si>
    <t>Kiểm tra đăng ký SHCM</t>
  </si>
  <si>
    <t xml:space="preserve">Đảm bảo tất cả buổi SHCM đều được cập nhật hàng tuần </t>
  </si>
  <si>
    <t>Calendar</t>
  </si>
  <si>
    <t>Tạo lịch trên Google Calendar</t>
  </si>
  <si>
    <t>Tạo lịch ngay sau khi đăng ký SHCM</t>
  </si>
  <si>
    <t>hàng tuần</t>
  </si>
  <si>
    <t>Đặt tiêu đề lịch</t>
  </si>
  <si>
    <t>Đặt theo cú pháp: SHCM26-[Tên đơn vị]-[Nội dung trình bày]</t>
  </si>
  <si>
    <t>Thêm email nhận thông báo</t>
  </si>
  <si>
    <t>Thêm đầy đủ các email theo danh sách yêu cầu</t>
  </si>
  <si>
    <t>hoi.nguyenthanh@phenikaa-uni.edu.vn
ngoquoccuong.pnt@gmail.com
daotao@phenikaamec.com
hangntv@phenikaamec.com</t>
  </si>
  <si>
    <t>Nhập nội dung mô tả</t>
  </si>
  <si>
    <t>Nhập đầy đủ: nội dung, thời gian, địa điểm, đơn vị, báo cáo viên, người kiểm soát</t>
  </si>
  <si>
    <t>Cột Calendar của sheet Kế hoạch</t>
  </si>
  <si>
    <t>Cập nhật khi thay đổi thời gian</t>
  </si>
  <si>
    <t>Cập nhật lại thời gian trên Calendar khi có thay đổi</t>
  </si>
  <si>
    <t>Bổ sung lý do thay đổi</t>
  </si>
  <si>
    <t>Ghi rõ lý do thay đổi trong phần mô tả cuối nội dung</t>
  </si>
  <si>
    <t>Đánh giá</t>
  </si>
  <si>
    <t>Tạo form đánh giá</t>
  </si>
  <si>
    <t>Tạo bản sao từ form mẫu (Make a copy)</t>
  </si>
  <si>
    <t>Điều chỉnh form</t>
  </si>
  <si>
    <t>Chỉnh sửa form phù hợp nội dung buổi SHCM</t>
  </si>
  <si>
    <t>Triển khai khảo sát</t>
  </si>
  <si>
    <t>Gửi form khảo sát ngay sau khi kết thúc buổi học</t>
  </si>
  <si>
    <t>Minh chứng</t>
  </si>
  <si>
    <t>Tổng hợp biểu mẫu đăng ký</t>
  </si>
  <si>
    <t>Lưu trữ biểu mẫu đăng ký đã gửi</t>
  </si>
  <si>
    <t>Tổng hợp kết quả đánh giá</t>
  </si>
  <si>
    <t>Lưu kết quả form đánh giá cuối buổi</t>
  </si>
  <si>
    <t>Lưu tài liệu đào tạo</t>
  </si>
  <si>
    <t>Lưu PPT/PDF của buổi SHCM</t>
  </si>
  <si>
    <t>Hoàn thiện bảng kiểm nội bộ</t>
  </si>
  <si>
    <t>Điền đầy đủ bảng kiểm đánh giá đào tạo SHCM</t>
  </si>
  <si>
    <t>Gửi minh chứng</t>
  </si>
  <si>
    <t>Gửi toàn bộ tài liệu về Trung tâm Đào tạo</t>
  </si>
  <si>
    <t>Quản lý</t>
  </si>
  <si>
    <t>Bổ sung thiếu sót</t>
  </si>
  <si>
    <t>Bổ sung các buổi đã tổ chức nhưng chưa đăng ký/cập nhật</t>
  </si>
  <si>
    <t>Kiểm tra tuân thủ</t>
  </si>
  <si>
    <t>Đảm bảo đủ 3 bước: đăng ký + calendar + minh chứng</t>
  </si>
  <si>
    <t>Phục vụ báo cáo</t>
  </si>
  <si>
    <t>Dữ liệu dùng để báo cáo Ban Giám đốc</t>
  </si>
  <si>
    <t>Đánh giá hoạt động</t>
  </si>
  <si>
    <t>Dữ liệu dùng để đánh giá hoạt động chuyên môn đơn vị</t>
  </si>
  <si>
    <t>Cấp CME</t>
  </si>
  <si>
    <t>Sử dụng minh chứng để làm căn cứ cấp CME</t>
  </si>
  <si>
    <t>Giờ</t>
  </si>
  <si>
    <t>ĐƠN VỊ</t>
  </si>
  <si>
    <t>BÁO CÁO VIÊN</t>
  </si>
  <si>
    <t>NGƯỜI PHỤ TRÁCH NỘI DUNG</t>
  </si>
  <si>
    <t>ĐẦU MỐI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</si>
</sst>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8" x14ac:knownFonts="1">
    <font>
      <sz val="11"/>
      <color theme="1"/>
      <name val="Calibri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u/>
      <sz val="13"/>
      <color theme="1"/>
      <name val="Times New Roman"/>
      <family val="1"/>
    </font>
    <font>
      <u/>
      <sz val="13"/>
      <color theme="1"/>
      <name val="Times New Roman"/>
      <family val="1"/>
    </font>
    <font>
      <sz val="14"/>
      <color rgb="FF000000"/>
      <name val="Times New Roman"/>
      <family val="1"/>
    </font>
    <font>
      <u/>
      <sz val="13"/>
      <color rgb="FF0000FF"/>
      <name val="Times New Roman"/>
      <family val="1"/>
    </font>
    <font>
      <sz val="14"/>
      <color rgb="FF000000"/>
      <name val="Arial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rgb="FF1155CC"/>
      <name val="Calibri"/>
      <family val="2"/>
    </font>
    <font>
      <b/>
      <sz val="13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0" xfId="0" applyFont="1" applyAlignment="1">
      <alignment wrapText="1"/>
    </xf>
    <xf numFmtId="0" fontId="2" fillId="4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9" fillId="3" borderId="0" xfId="0" applyFont="1" applyFill="1"/>
    <xf numFmtId="0" fontId="9" fillId="2" borderId="0" xfId="0" applyFont="1" applyFill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6" borderId="1" xfId="0" applyFont="1" applyFill="1" applyBorder="1" applyAlignment="1">
      <alignment horizontal="right"/>
    </xf>
    <xf numFmtId="0" fontId="15" fillId="6" borderId="1" xfId="0" applyFont="1" applyFill="1" applyBorder="1"/>
    <xf numFmtId="0" fontId="15" fillId="6" borderId="1" xfId="0" applyFont="1" applyFill="1" applyBorder="1" applyAlignment="1">
      <alignment wrapText="1"/>
    </xf>
    <xf numFmtId="0" fontId="12" fillId="6" borderId="1" xfId="0" applyFont="1" applyFill="1" applyBorder="1"/>
    <xf numFmtId="0" fontId="15" fillId="7" borderId="1" xfId="0" applyFont="1" applyFill="1" applyBorder="1" applyAlignment="1">
      <alignment horizontal="right"/>
    </xf>
    <xf numFmtId="0" fontId="15" fillId="7" borderId="1" xfId="0" applyFont="1" applyFill="1" applyBorder="1"/>
    <xf numFmtId="0" fontId="15" fillId="7" borderId="1" xfId="0" applyFont="1" applyFill="1" applyBorder="1" applyAlignment="1">
      <alignment wrapText="1"/>
    </xf>
    <xf numFmtId="0" fontId="12" fillId="7" borderId="1" xfId="0" applyFont="1" applyFill="1" applyBorder="1"/>
    <xf numFmtId="0" fontId="15" fillId="8" borderId="1" xfId="0" applyFont="1" applyFill="1" applyBorder="1" applyAlignment="1">
      <alignment horizontal="right"/>
    </xf>
    <xf numFmtId="0" fontId="15" fillId="8" borderId="1" xfId="0" applyFont="1" applyFill="1" applyBorder="1"/>
    <xf numFmtId="0" fontId="15" fillId="8" borderId="1" xfId="0" applyFont="1" applyFill="1" applyBorder="1" applyAlignment="1">
      <alignment wrapText="1"/>
    </xf>
    <xf numFmtId="0" fontId="12" fillId="8" borderId="1" xfId="0" applyFont="1" applyFill="1" applyBorder="1"/>
    <xf numFmtId="0" fontId="15" fillId="9" borderId="1" xfId="0" applyFont="1" applyFill="1" applyBorder="1" applyAlignment="1">
      <alignment horizontal="right"/>
    </xf>
    <xf numFmtId="0" fontId="15" fillId="9" borderId="1" xfId="0" applyFont="1" applyFill="1" applyBorder="1"/>
    <xf numFmtId="0" fontId="15" fillId="9" borderId="1" xfId="0" applyFont="1" applyFill="1" applyBorder="1" applyAlignment="1">
      <alignment wrapText="1"/>
    </xf>
    <xf numFmtId="0" fontId="12" fillId="9" borderId="1" xfId="0" applyFont="1" applyFill="1" applyBorder="1"/>
    <xf numFmtId="0" fontId="15" fillId="10" borderId="1" xfId="0" applyFont="1" applyFill="1" applyBorder="1" applyAlignment="1">
      <alignment horizontal="right"/>
    </xf>
    <xf numFmtId="0" fontId="15" fillId="10" borderId="1" xfId="0" applyFont="1" applyFill="1" applyBorder="1"/>
    <xf numFmtId="0" fontId="15" fillId="10" borderId="1" xfId="0" applyFont="1" applyFill="1" applyBorder="1" applyAlignment="1">
      <alignment wrapText="1"/>
    </xf>
    <xf numFmtId="0" fontId="12" fillId="10" borderId="1" xfId="0" applyFont="1" applyFill="1" applyBorder="1"/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3" fillId="0" borderId="7" xfId="0" applyFont="1" applyBorder="1"/>
    <xf numFmtId="0" fontId="2" fillId="4" borderId="8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FA7AD-AAFC-4E07-AFBF-2C6F4026B405}" name="Table1" displayName="Table1" ref="A1:AB22" totalsRowShown="0" headerRowBorderDxfId="27" tableBorderDxfId="26">
  <autoFilter ref="A1:AB22" xr:uid="{F61FA7AD-AAFC-4E07-AFBF-2C6F4026B405}"/>
  <tableColumns count="28">
    <tableColumn id="1" xr3:uid="{AC6D848A-94CF-4A61-8F8A-8E1802944B79}" name="STT" dataDxfId="25"/>
    <tableColumn id="2" xr3:uid="{8B98EC9B-F87B-413F-B841-1F028B6BD93F}" name="THỨ" dataDxfId="24"/>
    <tableColumn id="3" xr3:uid="{35EAA46B-DFAB-4670-B271-DDBA2741F75B}" name="Giờ" dataDxfId="23"/>
    <tableColumn id="4" xr3:uid="{41D78C6E-6996-4816-851A-51E478931C57}" name="Ngày" dataDxfId="22"/>
    <tableColumn id="5" xr3:uid="{44016AFF-00C2-47D2-BD66-B10DE0F8893A}" name="Tháng" dataDxfId="21"/>
    <tableColumn id="6" xr3:uid="{FE70034E-878F-41C1-9D8B-0818536CCF9F}" name="Năm" dataDxfId="20"/>
    <tableColumn id="7" xr3:uid="{DFAB9B44-3F38-4864-B223-E0434443E9CB}" name="ĐƠN VỊ" dataDxfId="19"/>
    <tableColumn id="8" xr3:uid="{605280A3-618C-437E-8E2C-AA6AB1F38789}" name="NỘI DUNG/CHƯƠNG TRÌNH"/>
    <tableColumn id="9" xr3:uid="{DE146564-91A8-4697-B185-95B19C5D6B90}" name="BÁO CÁO VIÊN"/>
    <tableColumn id="10" xr3:uid="{2D9458BE-A360-4AFC-9FF6-419AC2854088}" name="NGƯỜI PHỤ TRÁCH NỘI DUNG" dataDxfId="18"/>
    <tableColumn id="11" xr3:uid="{16ACD34F-3377-4658-A63A-2AA072BBF90F}" name="ĐỐI TƯỢNG" dataDxfId="17"/>
    <tableColumn id="12" xr3:uid="{BFCDD6C2-B471-4E10-B986-8354812B1DCA}" name="ĐỊA ĐIỂM" dataDxfId="16"/>
    <tableColumn id="13" xr3:uid="{48E3C808-5B80-4F11-BB2D-BA451302B12E}" name="ĐẦU MỐI" dataDxfId="15"/>
    <tableColumn id="14" xr3:uid="{D2657C24-BE69-45D1-B3C3-DE0F3CC11419}" name="LIÊN HỆ" dataDxfId="14"/>
    <tableColumn id="15" xr3:uid="{A60AB3B4-6C5E-45B3-B081-72B8A8B67848}" name="Số học viên tham gia" dataDxfId="13"/>
    <tableColumn id="16" xr3:uid="{2116255E-A1E4-49CC-AC38-E9ECADE989CC}" name="Số Học viên đạt" dataDxfId="12"/>
    <tableColumn id="17" xr3:uid="{6CB2284A-10A8-4EC4-8B47-5B6BB825FAEF}" name="Số HV không đạt" dataDxfId="11"/>
    <tableColumn id="18" xr3:uid="{BB2104F0-554B-4E88-8EE4-F8A435E6BAB1}" name="Đúng form post test điểm danh (ít nhất 10 câu): Có/Không" dataDxfId="10"/>
    <tableColumn id="19" xr3:uid="{BECDC674-2CBF-4075-A33A-C728811ABFA0}" name="Có bài post test" dataDxfId="9">
      <calculatedColumnFormula>IF(V2&gt;0,"Có","Không")</calculatedColumnFormula>
    </tableColumn>
    <tableColumn id="20" xr3:uid="{3C7E18BE-4207-4AC2-A623-0280BD3E8826}" name="Có bảng kiểm" dataDxfId="8">
      <calculatedColumnFormula>IF(W2&gt;0,"Có","Không")</calculatedColumnFormula>
    </tableColumn>
    <tableColumn id="21" xr3:uid="{56D20C58-1286-400E-B6FA-BAACC63F6B14}" name="Có bài báo cáo" dataDxfId="7">
      <calculatedColumnFormula>IF(X2&gt;0,"Có","Không")</calculatedColumnFormula>
    </tableColumn>
    <tableColumn id="22" xr3:uid="{899499B5-3541-470A-837C-B6477E81B979}" name="Gắn link Điểm danh và post test" dataDxfId="6"/>
    <tableColumn id="23" xr3:uid="{5602ADD8-1B04-4D68-AEE3-B28532DF48C9}" name="Gắn link bảng kiểm đào tạo nội bộ" dataDxfId="5"/>
    <tableColumn id="24" xr3:uid="{B05B5C6B-05E7-4EA5-8577-7495277FF7D3}" name="Gắn link bài báo cáo" dataDxfId="4"/>
    <tableColumn id="25" xr3:uid="{1C94AB07-17EA-4E1F-A451-A5980A67AC4F}" name="Gắn link video buổi đào tạo" dataDxfId="3"/>
    <tableColumn id="26" xr3:uid="{8D701419-DBA0-4BD5-A336-A7BDA8477AF9}" name="Tình trạng thực hiện" dataDxfId="2"/>
    <tableColumn id="27" xr3:uid="{C7B4A82B-3B96-433D-883B-470CBEE0C794}" name="Cập nhật calendar" dataDxfId="1">
      <calculatedColumnFormula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calculatedColumnFormula>
    </tableColumn>
    <tableColumn id="28" xr3:uid="{7D88220E-CC68-4788-95C7-FD7BE4E338ED}" name="Lý do hoãn/hủy/ghi chú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presentation/d/1Fw5tU8ICoMwwyMKdIbqKIeWSNejM_gJjUGqKiRj-0bM/edit?pli=1&amp;slide=id.p1" TargetMode="External"/><Relationship Id="rId13" Type="http://schemas.openxmlformats.org/officeDocument/2006/relationships/hyperlink" Target="https://docs.google.com/spreadsheets/d/1H4vEHZWHeaEzfAz6JOXnFkeTTVmKsDoCwIHM_kNDde0/edit?gid=731371514" TargetMode="External"/><Relationship Id="rId18" Type="http://schemas.openxmlformats.org/officeDocument/2006/relationships/hyperlink" Target="https://docs.google.com/presentation/d/14oBJ-wYoDOLaY8u7ibEX7MFFUIsh6POk9qOhk481OeM/edit?slide=id.p5" TargetMode="External"/><Relationship Id="rId3" Type="http://schemas.openxmlformats.org/officeDocument/2006/relationships/hyperlink" Target="https://docs.google.com/spreadsheets/d/1rDEYXGjfIpqWleutQksH5PORBnm5-mbKFDU34oyzR70/edit?resourcekey=&amp;gid=13037715" TargetMode="External"/><Relationship Id="rId21" Type="http://schemas.openxmlformats.org/officeDocument/2006/relationships/hyperlink" Target="https://docs.google.com/presentation/d/1MBF1XUKNiSraorhfrXJPwulIV1kuq-8PyvgjuNAMTdQ/edit?slide=id.p1" TargetMode="External"/><Relationship Id="rId7" Type="http://schemas.openxmlformats.org/officeDocument/2006/relationships/hyperlink" Target="https://docs.google.com/spreadsheets/d/1Q5eKEjbeI9hLyJgc4qzO9nBsQcx6Cdpt/edit?gid=569386387" TargetMode="External"/><Relationship Id="rId12" Type="http://schemas.openxmlformats.org/officeDocument/2006/relationships/hyperlink" Target="https://docs.google.com/presentation/d/1BVLCW-wCqwvOjOXDzPQmYyggQ6G5eQ3sUApNNI3WncU/edit?slide=id.p1" TargetMode="External"/><Relationship Id="rId17" Type="http://schemas.openxmlformats.org/officeDocument/2006/relationships/hyperlink" Target="https://docs.google.com/spreadsheets/d/1H4vEHZWHeaEzfAz6JOXnFkeTTVmKsDoCwIHM_kNDde0/edit?gid=224026351" TargetMode="External"/><Relationship Id="rId2" Type="http://schemas.openxmlformats.org/officeDocument/2006/relationships/hyperlink" Target="https://docs.google.com/presentation/d/1xoifaM7VbeZuQuxp553VTcF9KN-Pu-ekF07BcKOWWsI/edit?slide=id.p1" TargetMode="External"/><Relationship Id="rId16" Type="http://schemas.openxmlformats.org/officeDocument/2006/relationships/hyperlink" Target="https://docs.google.com/presentation/d/1fcRumeqvERFu9By2QqL9uxUtyBv27aMl/edit?usp=sharing&amp;ouid=114184320866681607220&amp;rtpof=true&amp;sd=true" TargetMode="External"/><Relationship Id="rId20" Type="http://schemas.openxmlformats.org/officeDocument/2006/relationships/hyperlink" Target="https://docs.google.com/presentation/d/1sR7t4P7gtVtwq_8e8L7c66JsVGrFcoUcSVv46DqlZdM/edit?usp=sharing" TargetMode="External"/><Relationship Id="rId1" Type="http://schemas.openxmlformats.org/officeDocument/2006/relationships/hyperlink" Target="https://docs.google.com/spreadsheets/d/1RDNmJ-84m0WJ_aB8N-hEcv5Adab6v9J3l8wLkR7oLVA/edit?gid=1541212822" TargetMode="External"/><Relationship Id="rId6" Type="http://schemas.openxmlformats.org/officeDocument/2006/relationships/hyperlink" Target="https://docs.google.com/presentation/d/1VC0riDqGQQIPbnIpKcaVIy4oLLVlFE85dU28VPsWk9U/edit?slide=id.p1" TargetMode="External"/><Relationship Id="rId11" Type="http://schemas.openxmlformats.org/officeDocument/2006/relationships/hyperlink" Target="https://docs.google.com/spreadsheets/d/1H4vEHZWHeaEzfAz6JOXnFkeTTVmKsDoCwIHM_kNDde0/edit?gid=0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docs.google.com/forms/d/11IHzPlFoVXYzuEfa2_3mnChQ1kawNlKOxppgGXyQy6s/edit?ts=69f56481" TargetMode="External"/><Relationship Id="rId15" Type="http://schemas.openxmlformats.org/officeDocument/2006/relationships/hyperlink" Target="https://docs.google.com/forms/d/1DXh_a1HJU7PucRUHFA_brtucMLhj_6hYhW0QVmJLru4/edit" TargetMode="External"/><Relationship Id="rId23" Type="http://schemas.openxmlformats.org/officeDocument/2006/relationships/hyperlink" Target="https://docs.google.com/forms/d/1duzblRVRNmr4IGky3ULPNDWOzljtNFbg9U5q_lpqe4U/edit?ts=694cfd40" TargetMode="External"/><Relationship Id="rId10" Type="http://schemas.openxmlformats.org/officeDocument/2006/relationships/hyperlink" Target="https://docs.google.com/presentation/d/17Zzwg023xm58KpsJTgvwVz8FjW7CjeoO/edit?usp=sharing&amp;ouid=104222087903104034726&amp;rtpof=true&amp;sd=true" TargetMode="External"/><Relationship Id="rId19" Type="http://schemas.openxmlformats.org/officeDocument/2006/relationships/hyperlink" Target="https://docs.google.com/spreadsheets/d/1H4vEHZWHeaEzfAz6JOXnFkeTTVmKsDoCwIHM_kNDde0/edit?gid=224026351" TargetMode="External"/><Relationship Id="rId4" Type="http://schemas.openxmlformats.org/officeDocument/2006/relationships/hyperlink" Target="https://docs.google.com/presentation/d/1lSJBwvj0Ey3E1BzosDL1ERAYielmVW51vjYiZRTqIAw/edit?slide=id.p1" TargetMode="External"/><Relationship Id="rId9" Type="http://schemas.openxmlformats.org/officeDocument/2006/relationships/hyperlink" Target="https://docs.google.com/spreadsheets/d/1eP43uLALJNGg_njJ97iw80SSCTmMB3kGHT4ghOESOgg/edit?usp=sharing" TargetMode="External"/><Relationship Id="rId14" Type="http://schemas.openxmlformats.org/officeDocument/2006/relationships/hyperlink" Target="https://docs.google.com/presentation/d/1cW08NU7-SVj10VBYxjKuDlEP8q_BIt_g0XnMyQnjnF0/edit?slide=id.p1" TargetMode="External"/><Relationship Id="rId22" Type="http://schemas.openxmlformats.org/officeDocument/2006/relationships/hyperlink" Target="https://docs.google.com/presentation/d/1JBKBEh__nvKeC_0n-5o--NI0ILErmvG3EDDjTjOneXE/edit?slide=id.p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4"/>
  <sheetViews>
    <sheetView tabSelected="1" workbookViewId="0">
      <pane xSplit="8" ySplit="1" topLeftCell="M2" activePane="bottomRight" state="frozen"/>
      <selection pane="topRight" activeCell="I1" sqref="I1"/>
      <selection pane="bottomLeft" activeCell="A2" sqref="A2"/>
      <selection pane="bottomRight" activeCell="M2" sqref="M2"/>
    </sheetView>
  </sheetViews>
  <sheetFormatPr baseColWidth="10" defaultColWidth="14.5" defaultRowHeight="15" customHeight="1" x14ac:dyDescent="0.2"/>
  <cols>
    <col min="1" max="1" width="8.5" customWidth="1"/>
    <col min="2" max="2" width="12.5" customWidth="1"/>
    <col min="3" max="3" width="33.1640625" customWidth="1"/>
    <col min="4" max="4" width="8.5" customWidth="1"/>
    <col min="5" max="5" width="9.5" customWidth="1"/>
    <col min="6" max="6" width="13.5" customWidth="1"/>
    <col min="7" max="7" width="24.6640625" customWidth="1"/>
    <col min="8" max="8" width="35.33203125" customWidth="1"/>
    <col min="9" max="9" width="35.5" customWidth="1"/>
    <col min="10" max="10" width="50.33203125" customWidth="1"/>
    <col min="11" max="11" width="25" customWidth="1"/>
    <col min="12" max="12" width="20.33203125" customWidth="1"/>
    <col min="13" max="13" width="39.33203125" customWidth="1"/>
    <col min="14" max="14" width="17.6640625" customWidth="1"/>
    <col min="15" max="15" width="24.6640625" customWidth="1"/>
    <col min="16" max="16" width="19.5" customWidth="1"/>
    <col min="17" max="17" width="20.5" customWidth="1"/>
    <col min="18" max="18" width="63.6640625" customWidth="1"/>
    <col min="19" max="19" width="19.5" customWidth="1"/>
    <col min="20" max="20" width="17.6640625" customWidth="1"/>
    <col min="21" max="21" width="18.5" customWidth="1"/>
    <col min="22" max="22" width="36.5" customWidth="1"/>
    <col min="23" max="23" width="39.1640625" customWidth="1"/>
    <col min="24" max="24" width="24.6640625" customWidth="1"/>
    <col min="25" max="25" width="32.1640625" customWidth="1"/>
    <col min="26" max="26" width="24.6640625" customWidth="1"/>
    <col min="27" max="27" width="34.1640625" customWidth="1"/>
    <col min="28" max="28" width="27.5" customWidth="1"/>
  </cols>
  <sheetData>
    <row r="1" spans="1:28" ht="85.5" customHeight="1" x14ac:dyDescent="0.2">
      <c r="A1" s="50" t="s">
        <v>0</v>
      </c>
      <c r="B1" s="51" t="s">
        <v>1</v>
      </c>
      <c r="C1" s="51" t="s">
        <v>183</v>
      </c>
      <c r="D1" s="51" t="s">
        <v>2</v>
      </c>
      <c r="E1" s="51" t="s">
        <v>3</v>
      </c>
      <c r="F1" s="51" t="s">
        <v>4</v>
      </c>
      <c r="G1" s="51" t="s">
        <v>184</v>
      </c>
      <c r="H1" s="51" t="s">
        <v>5</v>
      </c>
      <c r="I1" s="69" t="s">
        <v>185</v>
      </c>
      <c r="J1" s="51" t="s">
        <v>186</v>
      </c>
      <c r="K1" s="51" t="s">
        <v>6</v>
      </c>
      <c r="L1" s="51" t="s">
        <v>7</v>
      </c>
      <c r="M1" s="51" t="s">
        <v>187</v>
      </c>
      <c r="N1" s="52" t="s">
        <v>8</v>
      </c>
      <c r="O1" s="52" t="s">
        <v>9</v>
      </c>
      <c r="P1" s="52" t="s">
        <v>10</v>
      </c>
      <c r="Q1" s="52" t="s">
        <v>11</v>
      </c>
      <c r="R1" s="52" t="s">
        <v>12</v>
      </c>
      <c r="S1" s="53" t="s">
        <v>13</v>
      </c>
      <c r="T1" s="53" t="s">
        <v>14</v>
      </c>
      <c r="U1" s="53" t="s">
        <v>15</v>
      </c>
      <c r="V1" s="54" t="s">
        <v>16</v>
      </c>
      <c r="W1" s="54" t="s">
        <v>17</v>
      </c>
      <c r="X1" s="54" t="s">
        <v>18</v>
      </c>
      <c r="Y1" s="54" t="s">
        <v>19</v>
      </c>
      <c r="Z1" s="53" t="s">
        <v>20</v>
      </c>
      <c r="AA1" s="53" t="s">
        <v>21</v>
      </c>
      <c r="AB1" s="55" t="s">
        <v>22</v>
      </c>
    </row>
    <row r="2" spans="1:28" ht="48.75" customHeight="1" x14ac:dyDescent="0.2">
      <c r="A2" s="48">
        <v>1</v>
      </c>
      <c r="B2" s="2" t="s">
        <v>23</v>
      </c>
      <c r="C2" s="1" t="s">
        <v>24</v>
      </c>
      <c r="D2" s="1">
        <v>21</v>
      </c>
      <c r="E2" s="1">
        <v>4</v>
      </c>
      <c r="F2" s="1">
        <v>2026</v>
      </c>
      <c r="G2" s="1" t="s">
        <v>25</v>
      </c>
      <c r="H2" s="2" t="s">
        <v>26</v>
      </c>
      <c r="I2" s="2" t="s">
        <v>27</v>
      </c>
      <c r="J2" s="1" t="s">
        <v>28</v>
      </c>
      <c r="K2" s="1" t="s">
        <v>29</v>
      </c>
      <c r="L2" s="1" t="s">
        <v>30</v>
      </c>
      <c r="M2" s="1" t="s">
        <v>27</v>
      </c>
      <c r="N2" s="1"/>
      <c r="O2" s="1">
        <v>18</v>
      </c>
      <c r="P2" s="1">
        <v>18</v>
      </c>
      <c r="Q2" s="1">
        <v>0</v>
      </c>
      <c r="R2" s="1" t="s">
        <v>31</v>
      </c>
      <c r="S2" s="3" t="str">
        <f t="shared" ref="S2:U2" si="0">IF(V2&gt;0,"Có","Không")</f>
        <v>Có</v>
      </c>
      <c r="T2" s="3" t="str">
        <f t="shared" si="0"/>
        <v>Không</v>
      </c>
      <c r="U2" s="3" t="str">
        <f t="shared" si="0"/>
        <v>Có</v>
      </c>
      <c r="V2" s="4" t="s">
        <v>32</v>
      </c>
      <c r="W2" s="5"/>
      <c r="X2" s="4" t="s">
        <v>33</v>
      </c>
      <c r="Y2" s="5"/>
      <c r="Z2" s="6" t="str">
        <f t="shared" ref="Z2:Z8" si="1">IF(COUNTA(V2:X2)&gt;0,"Thực hiện","Không thực hiện")</f>
        <v>Thực hiện</v>
      </c>
      <c r="AA2" s="6" t="e">
        <f t="shared" ref="AA2:AA22" ca="1" si="2"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f>
        <v>#NAME?</v>
      </c>
      <c r="AB2" s="49"/>
    </row>
    <row r="3" spans="1:28" ht="38.25" customHeight="1" x14ac:dyDescent="0.2">
      <c r="A3" s="48">
        <v>2</v>
      </c>
      <c r="B3" s="2" t="s">
        <v>34</v>
      </c>
      <c r="C3" s="1" t="s">
        <v>35</v>
      </c>
      <c r="D3" s="1">
        <v>23</v>
      </c>
      <c r="E3" s="1">
        <v>4</v>
      </c>
      <c r="F3" s="1">
        <v>2026</v>
      </c>
      <c r="G3" s="1" t="s">
        <v>25</v>
      </c>
      <c r="H3" s="2" t="s">
        <v>36</v>
      </c>
      <c r="I3" s="2" t="s">
        <v>37</v>
      </c>
      <c r="J3" s="1" t="s">
        <v>28</v>
      </c>
      <c r="K3" s="1" t="s">
        <v>29</v>
      </c>
      <c r="L3" s="1" t="s">
        <v>38</v>
      </c>
      <c r="M3" s="1" t="s">
        <v>39</v>
      </c>
      <c r="N3" s="7" t="s">
        <v>40</v>
      </c>
      <c r="O3" s="1">
        <v>72</v>
      </c>
      <c r="P3" s="1">
        <v>72</v>
      </c>
      <c r="Q3" s="1">
        <v>0</v>
      </c>
      <c r="R3" s="1" t="s">
        <v>31</v>
      </c>
      <c r="S3" s="3" t="str">
        <f t="shared" ref="S3:U3" si="3">IF(V3&gt;0,"Có","Không")</f>
        <v>Có</v>
      </c>
      <c r="T3" s="3" t="str">
        <f t="shared" si="3"/>
        <v>Không</v>
      </c>
      <c r="U3" s="3" t="str">
        <f t="shared" si="3"/>
        <v>Có</v>
      </c>
      <c r="V3" s="4" t="s">
        <v>41</v>
      </c>
      <c r="W3" s="5"/>
      <c r="X3" s="4" t="s">
        <v>42</v>
      </c>
      <c r="Y3" s="5"/>
      <c r="Z3" s="6" t="str">
        <f t="shared" si="1"/>
        <v>Thực hiện</v>
      </c>
      <c r="AA3" s="6" t="e">
        <f t="shared" ca="1" si="2"/>
        <v>#NAME?</v>
      </c>
      <c r="AB3" s="49"/>
    </row>
    <row r="4" spans="1:28" ht="108" x14ac:dyDescent="0.2">
      <c r="A4" s="48">
        <v>3</v>
      </c>
      <c r="B4" s="2" t="s">
        <v>43</v>
      </c>
      <c r="C4" s="1" t="s">
        <v>44</v>
      </c>
      <c r="D4" s="1">
        <v>24</v>
      </c>
      <c r="E4" s="1">
        <v>4</v>
      </c>
      <c r="F4" s="1">
        <v>2026</v>
      </c>
      <c r="G4" s="1" t="s">
        <v>25</v>
      </c>
      <c r="H4" s="2" t="s">
        <v>45</v>
      </c>
      <c r="I4" s="2" t="s">
        <v>27</v>
      </c>
      <c r="J4" s="1" t="s">
        <v>28</v>
      </c>
      <c r="K4" s="1" t="s">
        <v>29</v>
      </c>
      <c r="L4" s="1" t="s">
        <v>46</v>
      </c>
      <c r="M4" s="1" t="s">
        <v>27</v>
      </c>
      <c r="N4" s="1"/>
      <c r="O4" s="1">
        <v>28</v>
      </c>
      <c r="P4" s="1">
        <v>28</v>
      </c>
      <c r="Q4" s="1">
        <v>0</v>
      </c>
      <c r="R4" s="1" t="s">
        <v>31</v>
      </c>
      <c r="S4" s="3" t="str">
        <f t="shared" ref="S4:U4" si="4">IF(V4&gt;0,"Có","Không")</f>
        <v>Có</v>
      </c>
      <c r="T4" s="3" t="str">
        <f t="shared" si="4"/>
        <v>Không</v>
      </c>
      <c r="U4" s="3" t="str">
        <f t="shared" si="4"/>
        <v>Có</v>
      </c>
      <c r="V4" s="4" t="s">
        <v>47</v>
      </c>
      <c r="W4" s="5"/>
      <c r="X4" s="4" t="s">
        <v>48</v>
      </c>
      <c r="Y4" s="5"/>
      <c r="Z4" s="6" t="str">
        <f t="shared" si="1"/>
        <v>Thực hiện</v>
      </c>
      <c r="AA4" s="6" t="e">
        <f t="shared" ca="1" si="2"/>
        <v>#NAME?</v>
      </c>
      <c r="AB4" s="49"/>
    </row>
    <row r="5" spans="1:28" ht="66" customHeight="1" x14ac:dyDescent="0.2">
      <c r="A5" s="48">
        <v>4</v>
      </c>
      <c r="B5" s="2" t="s">
        <v>49</v>
      </c>
      <c r="C5" s="1" t="s">
        <v>50</v>
      </c>
      <c r="D5" s="1">
        <v>4</v>
      </c>
      <c r="E5" s="1">
        <v>5</v>
      </c>
      <c r="F5" s="1">
        <v>2026</v>
      </c>
      <c r="G5" s="1" t="s">
        <v>25</v>
      </c>
      <c r="H5" s="2" t="s">
        <v>51</v>
      </c>
      <c r="I5" s="2" t="s">
        <v>52</v>
      </c>
      <c r="J5" s="1" t="s">
        <v>28</v>
      </c>
      <c r="K5" s="1" t="s">
        <v>29</v>
      </c>
      <c r="L5" s="1" t="s">
        <v>53</v>
      </c>
      <c r="M5" s="1" t="s">
        <v>54</v>
      </c>
      <c r="N5" s="7" t="s">
        <v>55</v>
      </c>
      <c r="O5" s="1">
        <v>21</v>
      </c>
      <c r="P5" s="1" t="s">
        <v>56</v>
      </c>
      <c r="Q5" s="1" t="s">
        <v>56</v>
      </c>
      <c r="R5" s="1" t="s">
        <v>56</v>
      </c>
      <c r="S5" s="6" t="s">
        <v>56</v>
      </c>
      <c r="T5" s="3" t="str">
        <f t="shared" ref="T5:T18" si="5">IF(W5&gt;0,"Có","Không")</f>
        <v>Không</v>
      </c>
      <c r="U5" s="6" t="s">
        <v>56</v>
      </c>
      <c r="V5" s="8" t="s">
        <v>57</v>
      </c>
      <c r="W5" s="5"/>
      <c r="X5" s="8" t="s">
        <v>58</v>
      </c>
      <c r="Y5" s="5"/>
      <c r="Z5" s="6" t="str">
        <f t="shared" si="1"/>
        <v>Thực hiện</v>
      </c>
      <c r="AA5" s="6" t="e">
        <f t="shared" ca="1" si="2"/>
        <v>#NAME?</v>
      </c>
      <c r="AB5" s="49"/>
    </row>
    <row r="6" spans="1:28" ht="72" x14ac:dyDescent="0.2">
      <c r="A6" s="48">
        <v>5</v>
      </c>
      <c r="B6" s="2" t="s">
        <v>59</v>
      </c>
      <c r="C6" s="1" t="s">
        <v>50</v>
      </c>
      <c r="D6" s="1">
        <v>13</v>
      </c>
      <c r="E6" s="1">
        <v>5</v>
      </c>
      <c r="F6" s="1">
        <v>2026</v>
      </c>
      <c r="G6" s="1" t="s">
        <v>25</v>
      </c>
      <c r="H6" s="9" t="s">
        <v>60</v>
      </c>
      <c r="I6" s="9" t="s">
        <v>61</v>
      </c>
      <c r="J6" s="1" t="s">
        <v>28</v>
      </c>
      <c r="K6" s="1" t="s">
        <v>29</v>
      </c>
      <c r="L6" s="1" t="s">
        <v>38</v>
      </c>
      <c r="M6" s="1" t="s">
        <v>62</v>
      </c>
      <c r="N6" s="1">
        <v>369996788</v>
      </c>
      <c r="O6" s="1">
        <v>110</v>
      </c>
      <c r="P6" s="1">
        <v>115</v>
      </c>
      <c r="Q6" s="1" t="s">
        <v>63</v>
      </c>
      <c r="R6" s="1" t="s">
        <v>64</v>
      </c>
      <c r="S6" s="10" t="s">
        <v>63</v>
      </c>
      <c r="T6" s="6" t="str">
        <f t="shared" si="5"/>
        <v>Không</v>
      </c>
      <c r="U6" s="6" t="s">
        <v>65</v>
      </c>
      <c r="V6" s="11" t="s">
        <v>66</v>
      </c>
      <c r="W6" s="5"/>
      <c r="X6" s="8" t="s">
        <v>67</v>
      </c>
      <c r="Y6" s="5"/>
      <c r="Z6" s="6" t="str">
        <f t="shared" si="1"/>
        <v>Thực hiện</v>
      </c>
      <c r="AA6" s="6" t="e">
        <f t="shared" ca="1" si="2"/>
        <v>#NAME?</v>
      </c>
      <c r="AB6" s="49"/>
    </row>
    <row r="7" spans="1:28" ht="126" x14ac:dyDescent="0.2">
      <c r="A7" s="48">
        <v>6</v>
      </c>
      <c r="B7" s="2" t="s">
        <v>59</v>
      </c>
      <c r="C7" s="1" t="s">
        <v>68</v>
      </c>
      <c r="D7" s="1">
        <v>13</v>
      </c>
      <c r="E7" s="1">
        <v>5</v>
      </c>
      <c r="F7" s="1">
        <v>2026</v>
      </c>
      <c r="G7" s="1" t="s">
        <v>25</v>
      </c>
      <c r="H7" s="12" t="s">
        <v>69</v>
      </c>
      <c r="I7" s="9" t="s">
        <v>70</v>
      </c>
      <c r="J7" s="1" t="s">
        <v>28</v>
      </c>
      <c r="K7" s="1" t="s">
        <v>29</v>
      </c>
      <c r="L7" s="1" t="s">
        <v>53</v>
      </c>
      <c r="M7" s="1" t="s">
        <v>54</v>
      </c>
      <c r="N7" s="7" t="s">
        <v>55</v>
      </c>
      <c r="O7" s="1">
        <v>21</v>
      </c>
      <c r="P7" s="1" t="s">
        <v>56</v>
      </c>
      <c r="Q7" s="1" t="s">
        <v>56</v>
      </c>
      <c r="R7" s="1" t="s">
        <v>56</v>
      </c>
      <c r="S7" s="6" t="s">
        <v>56</v>
      </c>
      <c r="T7" s="6" t="str">
        <f t="shared" si="5"/>
        <v>Không</v>
      </c>
      <c r="U7" s="6" t="s">
        <v>56</v>
      </c>
      <c r="V7" s="11" t="s">
        <v>71</v>
      </c>
      <c r="W7" s="5"/>
      <c r="X7" s="11" t="s">
        <v>72</v>
      </c>
      <c r="Y7" s="5"/>
      <c r="Z7" s="6" t="str">
        <f t="shared" si="1"/>
        <v>Thực hiện</v>
      </c>
      <c r="AA7" s="6" t="e">
        <f t="shared" ca="1" si="2"/>
        <v>#NAME?</v>
      </c>
      <c r="AB7" s="49"/>
    </row>
    <row r="8" spans="1:28" ht="80" x14ac:dyDescent="0.2">
      <c r="A8" s="48">
        <v>7</v>
      </c>
      <c r="B8" s="2" t="s">
        <v>34</v>
      </c>
      <c r="C8" s="1" t="s">
        <v>68</v>
      </c>
      <c r="D8" s="1">
        <v>14</v>
      </c>
      <c r="E8" s="1">
        <v>5</v>
      </c>
      <c r="F8" s="1">
        <v>2026</v>
      </c>
      <c r="G8" s="1" t="s">
        <v>25</v>
      </c>
      <c r="H8" s="13" t="s">
        <v>73</v>
      </c>
      <c r="I8" s="14" t="s">
        <v>74</v>
      </c>
      <c r="J8" s="1" t="s">
        <v>28</v>
      </c>
      <c r="K8" s="1" t="s">
        <v>29</v>
      </c>
      <c r="L8" s="1" t="s">
        <v>53</v>
      </c>
      <c r="M8" s="1" t="s">
        <v>54</v>
      </c>
      <c r="N8" s="7" t="s">
        <v>55</v>
      </c>
      <c r="O8" s="1">
        <v>21</v>
      </c>
      <c r="P8" s="1" t="s">
        <v>56</v>
      </c>
      <c r="Q8" s="1" t="s">
        <v>56</v>
      </c>
      <c r="R8" s="1" t="s">
        <v>56</v>
      </c>
      <c r="S8" s="6" t="s">
        <v>56</v>
      </c>
      <c r="T8" s="3" t="str">
        <f t="shared" si="5"/>
        <v>Không</v>
      </c>
      <c r="U8" s="6" t="s">
        <v>56</v>
      </c>
      <c r="V8" s="15" t="s">
        <v>75</v>
      </c>
      <c r="W8" s="16"/>
      <c r="X8" s="15" t="s">
        <v>76</v>
      </c>
      <c r="Y8" s="16"/>
      <c r="Z8" s="6" t="str">
        <f t="shared" si="1"/>
        <v>Thực hiện</v>
      </c>
      <c r="AA8" s="6" t="e">
        <f t="shared" ca="1" si="2"/>
        <v>#NAME?</v>
      </c>
      <c r="AB8" s="49"/>
    </row>
    <row r="9" spans="1:28" ht="96" x14ac:dyDescent="0.2">
      <c r="A9" s="48">
        <v>8</v>
      </c>
      <c r="B9" s="2" t="s">
        <v>34</v>
      </c>
      <c r="C9" s="1" t="s">
        <v>77</v>
      </c>
      <c r="D9" s="1">
        <v>14</v>
      </c>
      <c r="E9" s="1">
        <v>5</v>
      </c>
      <c r="F9" s="1">
        <v>2026</v>
      </c>
      <c r="G9" s="1" t="s">
        <v>25</v>
      </c>
      <c r="H9" s="13" t="s">
        <v>78</v>
      </c>
      <c r="I9" s="14" t="s">
        <v>27</v>
      </c>
      <c r="J9" s="1" t="s">
        <v>28</v>
      </c>
      <c r="K9" s="1" t="s">
        <v>79</v>
      </c>
      <c r="L9" s="1" t="s">
        <v>80</v>
      </c>
      <c r="M9" s="1" t="s">
        <v>27</v>
      </c>
      <c r="N9" s="1">
        <v>976316552</v>
      </c>
      <c r="O9" s="1">
        <v>30</v>
      </c>
      <c r="P9" s="1" t="s">
        <v>56</v>
      </c>
      <c r="Q9" s="1" t="s">
        <v>56</v>
      </c>
      <c r="R9" s="1" t="s">
        <v>56</v>
      </c>
      <c r="S9" s="1" t="s">
        <v>56</v>
      </c>
      <c r="T9" s="3" t="str">
        <f t="shared" si="5"/>
        <v>Không</v>
      </c>
      <c r="U9" s="6" t="s">
        <v>56</v>
      </c>
      <c r="V9" s="17" t="s">
        <v>81</v>
      </c>
      <c r="W9" s="16"/>
      <c r="X9" s="15" t="s">
        <v>82</v>
      </c>
      <c r="Y9" s="16"/>
      <c r="Z9" s="6"/>
      <c r="AA9" s="6" t="e">
        <f t="shared" ca="1" si="2"/>
        <v>#NAME?</v>
      </c>
      <c r="AB9" s="49"/>
    </row>
    <row r="10" spans="1:28" ht="80" x14ac:dyDescent="0.2">
      <c r="A10" s="48">
        <v>9</v>
      </c>
      <c r="B10" s="2" t="s">
        <v>43</v>
      </c>
      <c r="C10" s="1" t="s">
        <v>68</v>
      </c>
      <c r="D10" s="1">
        <v>15</v>
      </c>
      <c r="E10" s="1">
        <v>5</v>
      </c>
      <c r="F10" s="1">
        <v>2026</v>
      </c>
      <c r="G10" s="1" t="s">
        <v>25</v>
      </c>
      <c r="H10" s="13" t="s">
        <v>83</v>
      </c>
      <c r="I10" s="14" t="s">
        <v>84</v>
      </c>
      <c r="J10" s="1" t="s">
        <v>28</v>
      </c>
      <c r="K10" s="1" t="s">
        <v>29</v>
      </c>
      <c r="L10" s="1" t="s">
        <v>53</v>
      </c>
      <c r="M10" s="1" t="s">
        <v>54</v>
      </c>
      <c r="N10" s="1" t="s">
        <v>55</v>
      </c>
      <c r="O10" s="1">
        <v>21</v>
      </c>
      <c r="P10" s="1" t="s">
        <v>56</v>
      </c>
      <c r="Q10" s="1" t="s">
        <v>56</v>
      </c>
      <c r="R10" s="1" t="s">
        <v>56</v>
      </c>
      <c r="S10" s="6" t="s">
        <v>56</v>
      </c>
      <c r="T10" s="3" t="str">
        <f t="shared" si="5"/>
        <v>Không</v>
      </c>
      <c r="U10" s="6" t="s">
        <v>56</v>
      </c>
      <c r="V10" s="15" t="s">
        <v>85</v>
      </c>
      <c r="W10" s="16"/>
      <c r="X10" s="15" t="s">
        <v>86</v>
      </c>
      <c r="Y10" s="16"/>
      <c r="Z10" s="6" t="str">
        <f t="shared" ref="Z10:Z11" si="6">IF(COUNTA(V10:X10)&gt;0,"Thực hiện","Không thực hiện")</f>
        <v>Thực hiện</v>
      </c>
      <c r="AA10" s="6" t="e">
        <f t="shared" ca="1" si="2"/>
        <v>#NAME?</v>
      </c>
      <c r="AB10" s="49"/>
    </row>
    <row r="11" spans="1:28" ht="90" x14ac:dyDescent="0.2">
      <c r="A11" s="48">
        <v>10</v>
      </c>
      <c r="B11" s="2" t="s">
        <v>23</v>
      </c>
      <c r="C11" s="1" t="s">
        <v>68</v>
      </c>
      <c r="D11" s="1">
        <v>19</v>
      </c>
      <c r="E11" s="1">
        <v>5</v>
      </c>
      <c r="F11" s="1">
        <v>2026</v>
      </c>
      <c r="G11" s="1" t="s">
        <v>25</v>
      </c>
      <c r="H11" s="13" t="s">
        <v>87</v>
      </c>
      <c r="I11" s="14" t="s">
        <v>88</v>
      </c>
      <c r="J11" s="1" t="s">
        <v>28</v>
      </c>
      <c r="K11" s="1" t="s">
        <v>29</v>
      </c>
      <c r="L11" s="1" t="s">
        <v>53</v>
      </c>
      <c r="M11" s="1" t="s">
        <v>54</v>
      </c>
      <c r="N11" s="1" t="s">
        <v>55</v>
      </c>
      <c r="O11" s="1">
        <v>21</v>
      </c>
      <c r="P11" s="1" t="s">
        <v>56</v>
      </c>
      <c r="Q11" s="1" t="s">
        <v>56</v>
      </c>
      <c r="R11" s="1" t="s">
        <v>56</v>
      </c>
      <c r="S11" s="6" t="s">
        <v>56</v>
      </c>
      <c r="T11" s="6" t="str">
        <f t="shared" si="5"/>
        <v>Không</v>
      </c>
      <c r="U11" s="6" t="s">
        <v>56</v>
      </c>
      <c r="V11" s="15" t="s">
        <v>85</v>
      </c>
      <c r="W11" s="5"/>
      <c r="X11" s="11" t="s">
        <v>89</v>
      </c>
      <c r="Y11" s="5"/>
      <c r="Z11" s="6" t="str">
        <f t="shared" si="6"/>
        <v>Thực hiện</v>
      </c>
      <c r="AA11" s="6" t="e">
        <f t="shared" ca="1" si="2"/>
        <v>#NAME?</v>
      </c>
      <c r="AB11" s="49"/>
    </row>
    <row r="12" spans="1:28" ht="108" x14ac:dyDescent="0.2">
      <c r="A12" s="48">
        <v>11</v>
      </c>
      <c r="B12" s="2" t="s">
        <v>59</v>
      </c>
      <c r="C12" s="1" t="s">
        <v>68</v>
      </c>
      <c r="D12" s="1">
        <v>20</v>
      </c>
      <c r="E12" s="1">
        <v>5</v>
      </c>
      <c r="F12" s="1">
        <v>2026</v>
      </c>
      <c r="G12" s="1" t="s">
        <v>25</v>
      </c>
      <c r="H12" s="13" t="s">
        <v>90</v>
      </c>
      <c r="I12" s="14" t="s">
        <v>91</v>
      </c>
      <c r="J12" s="1" t="s">
        <v>28</v>
      </c>
      <c r="K12" s="1" t="s">
        <v>29</v>
      </c>
      <c r="L12" s="1" t="s">
        <v>53</v>
      </c>
      <c r="M12" s="1" t="s">
        <v>54</v>
      </c>
      <c r="N12" s="1" t="s">
        <v>55</v>
      </c>
      <c r="O12" s="1">
        <v>21</v>
      </c>
      <c r="P12" s="1" t="s">
        <v>56</v>
      </c>
      <c r="Q12" s="1" t="s">
        <v>56</v>
      </c>
      <c r="R12" s="1" t="s">
        <v>56</v>
      </c>
      <c r="S12" s="6" t="s">
        <v>56</v>
      </c>
      <c r="T12" s="3" t="str">
        <f t="shared" si="5"/>
        <v>Không</v>
      </c>
      <c r="U12" s="6" t="s">
        <v>56</v>
      </c>
      <c r="V12" s="5"/>
      <c r="W12" s="5"/>
      <c r="X12" s="11" t="s">
        <v>92</v>
      </c>
      <c r="Y12" s="5"/>
      <c r="Z12" s="6" t="s">
        <v>93</v>
      </c>
      <c r="AA12" s="6" t="e">
        <f t="shared" ca="1" si="2"/>
        <v>#NAME?</v>
      </c>
      <c r="AB12" s="49"/>
    </row>
    <row r="13" spans="1:28" ht="108" x14ac:dyDescent="0.2">
      <c r="A13" s="48">
        <v>12</v>
      </c>
      <c r="B13" s="2" t="s">
        <v>34</v>
      </c>
      <c r="C13" s="1" t="s">
        <v>94</v>
      </c>
      <c r="D13" s="1">
        <v>21</v>
      </c>
      <c r="E13" s="1">
        <v>5</v>
      </c>
      <c r="F13" s="1">
        <v>2026</v>
      </c>
      <c r="G13" s="1" t="s">
        <v>25</v>
      </c>
      <c r="H13" s="13" t="s">
        <v>95</v>
      </c>
      <c r="I13" s="14" t="s">
        <v>96</v>
      </c>
      <c r="J13" s="1" t="s">
        <v>28</v>
      </c>
      <c r="K13" s="1" t="s">
        <v>29</v>
      </c>
      <c r="L13" s="1" t="s">
        <v>53</v>
      </c>
      <c r="M13" s="1" t="s">
        <v>54</v>
      </c>
      <c r="N13" s="1" t="s">
        <v>55</v>
      </c>
      <c r="O13" s="1">
        <v>21</v>
      </c>
      <c r="P13" s="1" t="s">
        <v>56</v>
      </c>
      <c r="Q13" s="1" t="s">
        <v>56</v>
      </c>
      <c r="R13" s="1" t="s">
        <v>56</v>
      </c>
      <c r="S13" s="6" t="s">
        <v>56</v>
      </c>
      <c r="T13" s="3" t="str">
        <f t="shared" si="5"/>
        <v>Không</v>
      </c>
      <c r="U13" s="6" t="s">
        <v>56</v>
      </c>
      <c r="V13" s="5"/>
      <c r="W13" s="5"/>
      <c r="X13" s="11" t="s">
        <v>97</v>
      </c>
      <c r="Y13" s="5"/>
      <c r="Z13" s="6" t="s">
        <v>93</v>
      </c>
      <c r="AA13" s="6" t="e">
        <f t="shared" ca="1" si="2"/>
        <v>#NAME?</v>
      </c>
      <c r="AB13" s="49"/>
    </row>
    <row r="14" spans="1:28" ht="57" x14ac:dyDescent="0.2">
      <c r="A14" s="48">
        <v>13</v>
      </c>
      <c r="B14" s="2" t="s">
        <v>43</v>
      </c>
      <c r="C14" s="1" t="s">
        <v>98</v>
      </c>
      <c r="D14" s="1">
        <v>22</v>
      </c>
      <c r="E14" s="1">
        <v>5</v>
      </c>
      <c r="F14" s="1">
        <v>2026</v>
      </c>
      <c r="G14" s="1" t="s">
        <v>25</v>
      </c>
      <c r="H14" s="13" t="s">
        <v>99</v>
      </c>
      <c r="I14" s="14" t="s">
        <v>100</v>
      </c>
      <c r="J14" s="1" t="s">
        <v>28</v>
      </c>
      <c r="K14" s="1" t="s">
        <v>29</v>
      </c>
      <c r="L14" s="1" t="s">
        <v>53</v>
      </c>
      <c r="M14" s="1" t="s">
        <v>54</v>
      </c>
      <c r="N14" s="1" t="s">
        <v>55</v>
      </c>
      <c r="O14" s="1">
        <v>21</v>
      </c>
      <c r="P14" s="1" t="s">
        <v>56</v>
      </c>
      <c r="Q14" s="1" t="s">
        <v>56</v>
      </c>
      <c r="R14" s="1" t="s">
        <v>56</v>
      </c>
      <c r="S14" s="6" t="s">
        <v>56</v>
      </c>
      <c r="T14" s="3" t="str">
        <f t="shared" si="5"/>
        <v>Không</v>
      </c>
      <c r="U14" s="6" t="s">
        <v>56</v>
      </c>
      <c r="V14" s="5"/>
      <c r="W14" s="5"/>
      <c r="X14" s="5"/>
      <c r="Y14" s="5"/>
      <c r="Z14" s="6" t="s">
        <v>93</v>
      </c>
      <c r="AA14" s="6" t="e">
        <f t="shared" ca="1" si="2"/>
        <v>#NAME?</v>
      </c>
      <c r="AB14" s="49"/>
    </row>
    <row r="15" spans="1:28" ht="54" x14ac:dyDescent="0.2">
      <c r="A15" s="48">
        <v>14</v>
      </c>
      <c r="B15" s="2" t="s">
        <v>49</v>
      </c>
      <c r="C15" s="1" t="s">
        <v>68</v>
      </c>
      <c r="D15" s="1">
        <v>25</v>
      </c>
      <c r="E15" s="1">
        <v>5</v>
      </c>
      <c r="F15" s="1">
        <v>2026</v>
      </c>
      <c r="G15" s="1" t="s">
        <v>25</v>
      </c>
      <c r="H15" s="13" t="s">
        <v>101</v>
      </c>
      <c r="I15" s="14" t="s">
        <v>102</v>
      </c>
      <c r="J15" s="1" t="s">
        <v>28</v>
      </c>
      <c r="K15" s="1" t="s">
        <v>29</v>
      </c>
      <c r="L15" s="1" t="s">
        <v>53</v>
      </c>
      <c r="M15" s="1" t="s">
        <v>54</v>
      </c>
      <c r="N15" s="1" t="s">
        <v>55</v>
      </c>
      <c r="O15" s="1">
        <v>21</v>
      </c>
      <c r="P15" s="1" t="s">
        <v>56</v>
      </c>
      <c r="Q15" s="1" t="s">
        <v>56</v>
      </c>
      <c r="R15" s="1" t="s">
        <v>56</v>
      </c>
      <c r="S15" s="6" t="s">
        <v>56</v>
      </c>
      <c r="T15" s="3" t="str">
        <f t="shared" si="5"/>
        <v>Không</v>
      </c>
      <c r="U15" s="6" t="s">
        <v>56</v>
      </c>
      <c r="V15" s="5"/>
      <c r="W15" s="5"/>
      <c r="X15" s="5"/>
      <c r="Y15" s="5"/>
      <c r="Z15" s="6" t="s">
        <v>93</v>
      </c>
      <c r="AA15" s="6" t="e">
        <f t="shared" ca="1" si="2"/>
        <v>#NAME?</v>
      </c>
      <c r="AB15" s="49"/>
    </row>
    <row r="16" spans="1:28" ht="54" x14ac:dyDescent="0.2">
      <c r="A16" s="48">
        <v>15</v>
      </c>
      <c r="B16" s="2" t="s">
        <v>23</v>
      </c>
      <c r="C16" s="1" t="s">
        <v>68</v>
      </c>
      <c r="D16" s="1">
        <v>26</v>
      </c>
      <c r="E16" s="1">
        <v>5</v>
      </c>
      <c r="F16" s="1">
        <v>2026</v>
      </c>
      <c r="G16" s="1" t="s">
        <v>25</v>
      </c>
      <c r="H16" s="13" t="s">
        <v>101</v>
      </c>
      <c r="I16" s="14" t="s">
        <v>102</v>
      </c>
      <c r="J16" s="1" t="s">
        <v>28</v>
      </c>
      <c r="K16" s="1" t="s">
        <v>29</v>
      </c>
      <c r="L16" s="1" t="s">
        <v>53</v>
      </c>
      <c r="M16" s="1" t="s">
        <v>54</v>
      </c>
      <c r="N16" s="1" t="s">
        <v>103</v>
      </c>
      <c r="O16" s="1">
        <v>21</v>
      </c>
      <c r="P16" s="1" t="s">
        <v>56</v>
      </c>
      <c r="Q16" s="1" t="s">
        <v>56</v>
      </c>
      <c r="R16" s="1" t="s">
        <v>56</v>
      </c>
      <c r="S16" s="6" t="s">
        <v>56</v>
      </c>
      <c r="T16" s="3" t="str">
        <f t="shared" si="5"/>
        <v>Không</v>
      </c>
      <c r="U16" s="6" t="s">
        <v>56</v>
      </c>
      <c r="V16" s="5"/>
      <c r="W16" s="5"/>
      <c r="X16" s="5"/>
      <c r="Y16" s="5"/>
      <c r="Z16" s="6" t="s">
        <v>93</v>
      </c>
      <c r="AA16" s="6" t="e">
        <f t="shared" ca="1" si="2"/>
        <v>#NAME?</v>
      </c>
      <c r="AB16" s="49"/>
    </row>
    <row r="17" spans="1:28" ht="54" x14ac:dyDescent="0.2">
      <c r="A17" s="48">
        <v>16</v>
      </c>
      <c r="B17" s="2" t="s">
        <v>34</v>
      </c>
      <c r="C17" s="1" t="s">
        <v>68</v>
      </c>
      <c r="D17" s="1">
        <v>28</v>
      </c>
      <c r="E17" s="1">
        <v>5</v>
      </c>
      <c r="F17" s="1">
        <v>2026</v>
      </c>
      <c r="G17" s="1" t="s">
        <v>25</v>
      </c>
      <c r="H17" s="13" t="s">
        <v>104</v>
      </c>
      <c r="I17" s="14" t="s">
        <v>105</v>
      </c>
      <c r="J17" s="1" t="s">
        <v>28</v>
      </c>
      <c r="K17" s="1" t="s">
        <v>29</v>
      </c>
      <c r="L17" s="1" t="s">
        <v>53</v>
      </c>
      <c r="M17" s="1" t="s">
        <v>54</v>
      </c>
      <c r="N17" s="1" t="s">
        <v>55</v>
      </c>
      <c r="O17" s="1">
        <v>21</v>
      </c>
      <c r="P17" s="1" t="s">
        <v>56</v>
      </c>
      <c r="Q17" s="1" t="s">
        <v>56</v>
      </c>
      <c r="R17" s="1" t="s">
        <v>56</v>
      </c>
      <c r="S17" s="6" t="s">
        <v>56</v>
      </c>
      <c r="T17" s="3" t="str">
        <f t="shared" si="5"/>
        <v>Không</v>
      </c>
      <c r="U17" s="6" t="s">
        <v>56</v>
      </c>
      <c r="V17" s="5"/>
      <c r="W17" s="5"/>
      <c r="X17" s="5"/>
      <c r="Y17" s="5"/>
      <c r="Z17" s="6" t="s">
        <v>93</v>
      </c>
      <c r="AA17" s="6" t="e">
        <f t="shared" ca="1" si="2"/>
        <v>#NAME?</v>
      </c>
      <c r="AB17" s="49"/>
    </row>
    <row r="18" spans="1:28" ht="54" x14ac:dyDescent="0.2">
      <c r="A18" s="48">
        <v>17</v>
      </c>
      <c r="B18" s="2" t="s">
        <v>34</v>
      </c>
      <c r="C18" s="1" t="s">
        <v>106</v>
      </c>
      <c r="D18" s="1">
        <v>28</v>
      </c>
      <c r="E18" s="1">
        <v>5</v>
      </c>
      <c r="F18" s="1">
        <v>2026</v>
      </c>
      <c r="G18" s="1" t="s">
        <v>25</v>
      </c>
      <c r="H18" s="18" t="s">
        <v>107</v>
      </c>
      <c r="I18" s="14" t="s">
        <v>28</v>
      </c>
      <c r="J18" s="1" t="s">
        <v>28</v>
      </c>
      <c r="K18" s="1" t="s">
        <v>29</v>
      </c>
      <c r="L18" s="1" t="s">
        <v>53</v>
      </c>
      <c r="M18" s="1" t="s">
        <v>54</v>
      </c>
      <c r="N18" s="1" t="s">
        <v>55</v>
      </c>
      <c r="O18" s="1">
        <v>21</v>
      </c>
      <c r="P18" s="1" t="s">
        <v>56</v>
      </c>
      <c r="Q18" s="1" t="s">
        <v>56</v>
      </c>
      <c r="R18" s="1" t="s">
        <v>56</v>
      </c>
      <c r="S18" s="6" t="s">
        <v>56</v>
      </c>
      <c r="T18" s="3" t="str">
        <f t="shared" si="5"/>
        <v>Không</v>
      </c>
      <c r="U18" s="6" t="s">
        <v>56</v>
      </c>
      <c r="V18" s="19" t="s">
        <v>108</v>
      </c>
      <c r="W18" s="5"/>
      <c r="X18" s="5"/>
      <c r="Y18" s="5"/>
      <c r="Z18" s="6" t="s">
        <v>93</v>
      </c>
      <c r="AA18" s="6" t="e">
        <f t="shared" ca="1" si="2"/>
        <v>#NAME?</v>
      </c>
      <c r="AB18" s="49"/>
    </row>
    <row r="19" spans="1:28" ht="213.75" customHeight="1" x14ac:dyDescent="0.2">
      <c r="A19" s="48">
        <v>18</v>
      </c>
      <c r="B19" s="2" t="s">
        <v>23</v>
      </c>
      <c r="C19" s="1" t="s">
        <v>24</v>
      </c>
      <c r="D19" s="1">
        <v>29</v>
      </c>
      <c r="E19" s="1">
        <v>5</v>
      </c>
      <c r="F19" s="1">
        <v>2026</v>
      </c>
      <c r="G19" s="1" t="s">
        <v>25</v>
      </c>
      <c r="H19" s="2" t="s">
        <v>109</v>
      </c>
      <c r="I19" s="2" t="s">
        <v>110</v>
      </c>
      <c r="J19" s="1" t="s">
        <v>28</v>
      </c>
      <c r="K19" s="1" t="s">
        <v>29</v>
      </c>
      <c r="L19" s="1" t="s">
        <v>38</v>
      </c>
      <c r="M19" s="1" t="s">
        <v>39</v>
      </c>
      <c r="N19" s="7" t="s">
        <v>40</v>
      </c>
      <c r="O19" s="1"/>
      <c r="P19" s="1"/>
      <c r="Q19" s="1"/>
      <c r="R19" s="1"/>
      <c r="S19" s="3" t="str">
        <f t="shared" ref="S19:U19" si="7">IF(V19&gt;0,"Có","Không")</f>
        <v>Không</v>
      </c>
      <c r="T19" s="3" t="str">
        <f t="shared" si="7"/>
        <v>Không</v>
      </c>
      <c r="U19" s="3" t="str">
        <f t="shared" si="7"/>
        <v>Không</v>
      </c>
      <c r="V19" s="5"/>
      <c r="W19" s="5"/>
      <c r="X19" s="5"/>
      <c r="Y19" s="5"/>
      <c r="Z19" s="6" t="s">
        <v>93</v>
      </c>
      <c r="AA19" s="6" t="e">
        <f t="shared" ca="1" si="2"/>
        <v>#NAME?</v>
      </c>
      <c r="AB19" s="49"/>
    </row>
    <row r="20" spans="1:28" ht="38.25" customHeight="1" x14ac:dyDescent="0.2">
      <c r="A20" s="48">
        <v>19</v>
      </c>
      <c r="B20" s="2" t="s">
        <v>43</v>
      </c>
      <c r="C20" s="1" t="s">
        <v>24</v>
      </c>
      <c r="D20" s="1">
        <v>30</v>
      </c>
      <c r="E20" s="1">
        <v>8</v>
      </c>
      <c r="F20" s="1">
        <v>2026</v>
      </c>
      <c r="G20" s="1" t="s">
        <v>25</v>
      </c>
      <c r="H20" s="20" t="s">
        <v>111</v>
      </c>
      <c r="I20" s="20" t="s">
        <v>112</v>
      </c>
      <c r="J20" s="1" t="s">
        <v>28</v>
      </c>
      <c r="K20" s="1" t="s">
        <v>29</v>
      </c>
      <c r="L20" s="1" t="s">
        <v>38</v>
      </c>
      <c r="M20" s="1" t="s">
        <v>39</v>
      </c>
      <c r="N20" s="7" t="s">
        <v>113</v>
      </c>
      <c r="O20" s="1"/>
      <c r="P20" s="1"/>
      <c r="Q20" s="1"/>
      <c r="R20" s="1"/>
      <c r="S20" s="3" t="str">
        <f t="shared" ref="S20:U20" si="8">IF(V20&gt;0,"Có","Không")</f>
        <v>Không</v>
      </c>
      <c r="T20" s="3" t="str">
        <f t="shared" si="8"/>
        <v>Không</v>
      </c>
      <c r="U20" s="3" t="str">
        <f t="shared" si="8"/>
        <v>Không</v>
      </c>
      <c r="V20" s="5"/>
      <c r="W20" s="5"/>
      <c r="X20" s="5"/>
      <c r="Y20" s="5"/>
      <c r="Z20" s="6" t="s">
        <v>93</v>
      </c>
      <c r="AA20" s="6" t="e">
        <f t="shared" ca="1" si="2"/>
        <v>#NAME?</v>
      </c>
      <c r="AB20" s="49"/>
    </row>
    <row r="21" spans="1:28" ht="47.25" customHeight="1" x14ac:dyDescent="0.2">
      <c r="A21" s="48">
        <v>20</v>
      </c>
      <c r="B21" s="2" t="s">
        <v>49</v>
      </c>
      <c r="C21" s="1" t="s">
        <v>24</v>
      </c>
      <c r="D21" s="1">
        <v>30</v>
      </c>
      <c r="E21" s="1">
        <v>11</v>
      </c>
      <c r="F21" s="1">
        <v>2026</v>
      </c>
      <c r="G21" s="1" t="s">
        <v>25</v>
      </c>
      <c r="H21" s="2" t="s">
        <v>114</v>
      </c>
      <c r="I21" s="2" t="s">
        <v>115</v>
      </c>
      <c r="J21" s="1" t="s">
        <v>28</v>
      </c>
      <c r="K21" s="1" t="s">
        <v>29</v>
      </c>
      <c r="L21" s="1" t="s">
        <v>38</v>
      </c>
      <c r="M21" s="1" t="s">
        <v>39</v>
      </c>
      <c r="N21" s="7" t="s">
        <v>116</v>
      </c>
      <c r="O21" s="1"/>
      <c r="P21" s="1"/>
      <c r="Q21" s="1"/>
      <c r="R21" s="1"/>
      <c r="S21" s="3" t="str">
        <f t="shared" ref="S21:U21" si="9">IF(V21&gt;0,"Có","Không")</f>
        <v>Không</v>
      </c>
      <c r="T21" s="3" t="str">
        <f t="shared" si="9"/>
        <v>Không</v>
      </c>
      <c r="U21" s="3" t="str">
        <f t="shared" si="9"/>
        <v>Không</v>
      </c>
      <c r="V21" s="5"/>
      <c r="W21" s="5"/>
      <c r="X21" s="5"/>
      <c r="Y21" s="5"/>
      <c r="Z21" s="6" t="s">
        <v>93</v>
      </c>
      <c r="AA21" s="6" t="e">
        <f t="shared" ca="1" si="2"/>
        <v>#NAME?</v>
      </c>
      <c r="AB21" s="49"/>
    </row>
    <row r="22" spans="1:28" ht="43.5" customHeight="1" x14ac:dyDescent="0.2">
      <c r="A22" s="56">
        <v>21</v>
      </c>
      <c r="B22" s="57"/>
      <c r="C22" s="58" t="s">
        <v>24</v>
      </c>
      <c r="D22" s="59"/>
      <c r="E22" s="60"/>
      <c r="F22" s="1">
        <v>2026</v>
      </c>
      <c r="G22" s="58" t="s">
        <v>25</v>
      </c>
      <c r="H22" s="61" t="s">
        <v>117</v>
      </c>
      <c r="I22" s="62" t="s">
        <v>118</v>
      </c>
      <c r="J22" s="58" t="s">
        <v>28</v>
      </c>
      <c r="K22" s="58" t="s">
        <v>29</v>
      </c>
      <c r="L22" s="63" t="s">
        <v>119</v>
      </c>
      <c r="M22" s="58" t="s">
        <v>39</v>
      </c>
      <c r="N22" s="64" t="s">
        <v>120</v>
      </c>
      <c r="O22" s="58"/>
      <c r="P22" s="58"/>
      <c r="Q22" s="58"/>
      <c r="R22" s="58"/>
      <c r="S22" s="65" t="str">
        <f t="shared" ref="S22:U22" si="10">IF(V22&gt;0,"Có","Không")</f>
        <v>Không</v>
      </c>
      <c r="T22" s="65" t="str">
        <f t="shared" si="10"/>
        <v>Không</v>
      </c>
      <c r="U22" s="65" t="str">
        <f t="shared" si="10"/>
        <v>Không</v>
      </c>
      <c r="V22" s="66"/>
      <c r="W22" s="66"/>
      <c r="X22" s="66"/>
      <c r="Y22" s="66"/>
      <c r="Z22" s="67" t="s">
        <v>93</v>
      </c>
      <c r="AA22" s="67" t="e">
        <f t="shared" ca="1" si="2"/>
        <v>#NAME?</v>
      </c>
      <c r="AB22" s="68"/>
    </row>
    <row r="23" spans="1:28" ht="17" x14ac:dyDescent="0.2">
      <c r="B23" s="21"/>
      <c r="H23" s="22"/>
      <c r="I23" s="22"/>
      <c r="L23" s="23"/>
      <c r="V23" s="24"/>
      <c r="W23" s="24"/>
      <c r="X23" s="24"/>
      <c r="Y23" s="24"/>
      <c r="AA23" s="25"/>
    </row>
    <row r="24" spans="1:28" ht="17" x14ac:dyDescent="0.2">
      <c r="B24" s="21"/>
      <c r="H24" s="22"/>
      <c r="I24" s="22"/>
      <c r="L24" s="23"/>
      <c r="V24" s="24"/>
      <c r="W24" s="24"/>
      <c r="X24" s="24"/>
      <c r="Y24" s="24"/>
      <c r="AA24" s="25"/>
    </row>
    <row r="25" spans="1:28" ht="17" x14ac:dyDescent="0.2">
      <c r="B25" s="21"/>
      <c r="H25" s="22"/>
      <c r="I25" s="22"/>
      <c r="L25" s="23"/>
      <c r="V25" s="24"/>
      <c r="W25" s="24"/>
      <c r="X25" s="24"/>
      <c r="Y25" s="24"/>
      <c r="AA25" s="25"/>
    </row>
    <row r="26" spans="1:28" ht="17" x14ac:dyDescent="0.2">
      <c r="B26" s="21"/>
      <c r="H26" s="22"/>
      <c r="I26" s="22"/>
      <c r="L26" s="23"/>
      <c r="V26" s="24"/>
      <c r="W26" s="24"/>
      <c r="X26" s="24"/>
      <c r="Y26" s="24"/>
      <c r="AA26" s="25"/>
    </row>
    <row r="27" spans="1:28" ht="17" x14ac:dyDescent="0.2">
      <c r="B27" s="21"/>
      <c r="H27" s="22"/>
      <c r="I27" s="22"/>
      <c r="L27" s="23"/>
      <c r="V27" s="24"/>
      <c r="W27" s="24"/>
      <c r="X27" s="24"/>
      <c r="Y27" s="24"/>
      <c r="AA27" s="25"/>
    </row>
    <row r="28" spans="1:28" ht="17" x14ac:dyDescent="0.2">
      <c r="B28" s="21"/>
      <c r="H28" s="22"/>
      <c r="I28" s="22"/>
      <c r="L28" s="23"/>
      <c r="V28" s="24"/>
      <c r="W28" s="24"/>
      <c r="X28" s="24"/>
      <c r="Y28" s="24"/>
      <c r="AA28" s="25"/>
    </row>
    <row r="29" spans="1:28" ht="17" x14ac:dyDescent="0.2">
      <c r="B29" s="21"/>
      <c r="H29" s="22"/>
      <c r="I29" s="22"/>
      <c r="L29" s="23"/>
      <c r="V29" s="24"/>
      <c r="W29" s="24"/>
      <c r="X29" s="24"/>
      <c r="Y29" s="24"/>
      <c r="AA29" s="25"/>
    </row>
    <row r="30" spans="1:28" ht="17" x14ac:dyDescent="0.2">
      <c r="B30" s="21"/>
      <c r="H30" s="22"/>
      <c r="I30" s="22"/>
      <c r="L30" s="23"/>
      <c r="V30" s="24"/>
      <c r="W30" s="24"/>
      <c r="X30" s="24"/>
      <c r="Y30" s="24"/>
      <c r="AA30" s="25"/>
    </row>
    <row r="31" spans="1:28" ht="17" x14ac:dyDescent="0.2">
      <c r="B31" s="21"/>
      <c r="H31" s="22"/>
      <c r="I31" s="22"/>
      <c r="L31" s="23"/>
      <c r="V31" s="24"/>
      <c r="W31" s="24"/>
      <c r="X31" s="24"/>
      <c r="Y31" s="24"/>
      <c r="AA31" s="25"/>
    </row>
    <row r="32" spans="1:28" ht="17" x14ac:dyDescent="0.2">
      <c r="B32" s="21"/>
      <c r="H32" s="22"/>
      <c r="I32" s="22"/>
      <c r="L32" s="23"/>
      <c r="V32" s="24"/>
      <c r="W32" s="24"/>
      <c r="X32" s="24"/>
      <c r="Y32" s="24"/>
      <c r="AA32" s="25"/>
    </row>
    <row r="33" spans="2:27" ht="15.75" customHeight="1" x14ac:dyDescent="0.2">
      <c r="B33" s="21"/>
      <c r="H33" s="22"/>
      <c r="I33" s="22"/>
      <c r="L33" s="23"/>
      <c r="V33" s="24"/>
      <c r="W33" s="24"/>
      <c r="X33" s="24"/>
      <c r="Y33" s="24"/>
      <c r="AA33" s="25"/>
    </row>
    <row r="34" spans="2:27" ht="15.75" customHeight="1" x14ac:dyDescent="0.2">
      <c r="B34" s="21"/>
      <c r="H34" s="22"/>
      <c r="I34" s="22"/>
      <c r="L34" s="23"/>
      <c r="V34" s="24"/>
      <c r="W34" s="24"/>
      <c r="X34" s="24"/>
      <c r="Y34" s="24"/>
      <c r="AA34" s="25"/>
    </row>
  </sheetData>
  <dataValidations count="2">
    <dataValidation type="list" allowBlank="1" sqref="B2:C20 C21:C22" xr:uid="{00000000-0002-0000-0000-000000000000}">
      <formula1>"Thứ Hai,Thứ Ba,Thứ Tư,Thứ Năm,Thứ Sáu,Thứ Bảy"</formula1>
    </dataValidation>
    <dataValidation type="list" allowBlank="1" sqref="L2:L21" xr:uid="{00000000-0002-0000-0000-000001000000}">
      <formula1>"Phòng Hành chính khoa,Hội trường 8A,Phòng họp 1A,Phòng họp TGĐ,Phòng họp Chủ tịch"</formula1>
    </dataValidation>
  </dataValidations>
  <hyperlinks>
    <hyperlink ref="V2" r:id="rId1" location="gid=1541212822" xr:uid="{00000000-0004-0000-0000-000000000000}"/>
    <hyperlink ref="X2" r:id="rId2" location="slide=id.p1" xr:uid="{00000000-0004-0000-0000-000001000000}"/>
    <hyperlink ref="V3" r:id="rId3" location="gid=13037715" xr:uid="{00000000-0004-0000-0000-000002000000}"/>
    <hyperlink ref="X3" r:id="rId4" location="slide=id.p1" xr:uid="{00000000-0004-0000-0000-000003000000}"/>
    <hyperlink ref="V4" r:id="rId5" location="responses" xr:uid="{00000000-0004-0000-0000-000004000000}"/>
    <hyperlink ref="X4" r:id="rId6" location="slide=id.p1" xr:uid="{00000000-0004-0000-0000-000005000000}"/>
    <hyperlink ref="V5" r:id="rId7" location="gid=569386387" xr:uid="{00000000-0004-0000-0000-000006000000}"/>
    <hyperlink ref="X5" r:id="rId8" location="slide=id.p1" xr:uid="{00000000-0004-0000-0000-000007000000}"/>
    <hyperlink ref="V6" r:id="rId9" xr:uid="{00000000-0004-0000-0000-000008000000}"/>
    <hyperlink ref="X6" r:id="rId10" xr:uid="{00000000-0004-0000-0000-000009000000}"/>
    <hyperlink ref="V7" r:id="rId11" location="gid=0" xr:uid="{00000000-0004-0000-0000-00000A000000}"/>
    <hyperlink ref="X7" r:id="rId12" location="slide=id.p1" xr:uid="{00000000-0004-0000-0000-00000B000000}"/>
    <hyperlink ref="V8" r:id="rId13" location="gid=731371514" xr:uid="{00000000-0004-0000-0000-00000C000000}"/>
    <hyperlink ref="X8" r:id="rId14" location="slide=id.p1" xr:uid="{00000000-0004-0000-0000-00000D000000}"/>
    <hyperlink ref="V9" r:id="rId15" xr:uid="{00000000-0004-0000-0000-00000E000000}"/>
    <hyperlink ref="X9" r:id="rId16" xr:uid="{00000000-0004-0000-0000-00000F000000}"/>
    <hyperlink ref="V10" r:id="rId17" location="gid=224026351" xr:uid="{00000000-0004-0000-0000-000010000000}"/>
    <hyperlink ref="X10" r:id="rId18" location="slide=id.p5" xr:uid="{00000000-0004-0000-0000-000011000000}"/>
    <hyperlink ref="V11" r:id="rId19" location="gid=224026351" xr:uid="{00000000-0004-0000-0000-000012000000}"/>
    <hyperlink ref="X11" r:id="rId20" xr:uid="{00000000-0004-0000-0000-000013000000}"/>
    <hyperlink ref="X12" r:id="rId21" location="slide=id.p1" xr:uid="{00000000-0004-0000-0000-000014000000}"/>
    <hyperlink ref="X13" r:id="rId22" location="slide=id.p1" xr:uid="{00000000-0004-0000-0000-000015000000}"/>
    <hyperlink ref="V18" r:id="rId23" xr:uid="{00000000-0004-0000-0000-000016000000}"/>
  </hyperlinks>
  <pageMargins left="0.7" right="0.7" top="0.75" bottom="0.75" header="0" footer="0"/>
  <pageSetup fitToHeight="0" orientation="landscape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4"/>
  <sheetViews>
    <sheetView workbookViewId="0"/>
  </sheetViews>
  <sheetFormatPr baseColWidth="10" defaultColWidth="14.5" defaultRowHeight="15" customHeight="1" x14ac:dyDescent="0.2"/>
  <cols>
    <col min="1" max="1" width="5.1640625" customWidth="1"/>
    <col min="2" max="2" width="26.33203125" customWidth="1"/>
    <col min="3" max="3" width="25.6640625" customWidth="1"/>
    <col min="4" max="4" width="41.5" customWidth="1"/>
    <col min="5" max="5" width="28.6640625" customWidth="1"/>
    <col min="7" max="7" width="28.83203125" customWidth="1"/>
  </cols>
  <sheetData>
    <row r="1" spans="1:7" ht="15" customHeight="1" x14ac:dyDescent="0.2">
      <c r="A1" s="26" t="s">
        <v>0</v>
      </c>
      <c r="B1" s="26" t="s">
        <v>121</v>
      </c>
      <c r="C1" s="26" t="s">
        <v>122</v>
      </c>
      <c r="D1" s="27" t="s">
        <v>123</v>
      </c>
      <c r="E1" s="27" t="s">
        <v>124</v>
      </c>
      <c r="F1" s="27" t="s">
        <v>125</v>
      </c>
      <c r="G1" s="27" t="s">
        <v>126</v>
      </c>
    </row>
    <row r="2" spans="1:7" ht="15" customHeight="1" x14ac:dyDescent="0.2">
      <c r="A2" s="28">
        <v>1</v>
      </c>
      <c r="B2" s="29" t="s">
        <v>127</v>
      </c>
      <c r="C2" s="29" t="s">
        <v>128</v>
      </c>
      <c r="D2" s="30" t="s">
        <v>129</v>
      </c>
      <c r="E2" s="31"/>
      <c r="F2" s="31"/>
      <c r="G2" s="31"/>
    </row>
    <row r="3" spans="1:7" ht="15" customHeight="1" x14ac:dyDescent="0.2">
      <c r="A3" s="28">
        <v>2</v>
      </c>
      <c r="B3" s="29" t="s">
        <v>127</v>
      </c>
      <c r="C3" s="29" t="s">
        <v>130</v>
      </c>
      <c r="D3" s="30" t="s">
        <v>131</v>
      </c>
      <c r="E3" s="30" t="s">
        <v>132</v>
      </c>
      <c r="F3" s="30" t="s">
        <v>133</v>
      </c>
      <c r="G3" s="31"/>
    </row>
    <row r="4" spans="1:7" ht="15" customHeight="1" x14ac:dyDescent="0.2">
      <c r="A4" s="28">
        <v>4</v>
      </c>
      <c r="B4" s="29" t="s">
        <v>127</v>
      </c>
      <c r="C4" s="29" t="s">
        <v>134</v>
      </c>
      <c r="D4" s="30" t="s">
        <v>135</v>
      </c>
      <c r="E4" s="30" t="s">
        <v>132</v>
      </c>
      <c r="F4" s="31"/>
      <c r="G4" s="31"/>
    </row>
    <row r="5" spans="1:7" ht="15" customHeight="1" x14ac:dyDescent="0.2">
      <c r="A5" s="28">
        <v>6</v>
      </c>
      <c r="B5" s="29" t="s">
        <v>127</v>
      </c>
      <c r="C5" s="29" t="s">
        <v>136</v>
      </c>
      <c r="D5" s="30" t="s">
        <v>137</v>
      </c>
      <c r="E5" s="31"/>
      <c r="F5" s="31"/>
      <c r="G5" s="31"/>
    </row>
    <row r="6" spans="1:7" ht="15" customHeight="1" x14ac:dyDescent="0.2">
      <c r="A6" s="32">
        <v>7</v>
      </c>
      <c r="B6" s="33" t="s">
        <v>138</v>
      </c>
      <c r="C6" s="33" t="s">
        <v>139</v>
      </c>
      <c r="D6" s="34" t="s">
        <v>140</v>
      </c>
      <c r="E6" s="35"/>
      <c r="F6" s="34" t="s">
        <v>141</v>
      </c>
      <c r="G6" s="35"/>
    </row>
    <row r="7" spans="1:7" ht="15" customHeight="1" x14ac:dyDescent="0.2">
      <c r="A7" s="32">
        <v>8</v>
      </c>
      <c r="B7" s="33" t="s">
        <v>138</v>
      </c>
      <c r="C7" s="33" t="s">
        <v>142</v>
      </c>
      <c r="D7" s="34" t="s">
        <v>143</v>
      </c>
      <c r="E7" s="35"/>
      <c r="F7" s="35"/>
      <c r="G7" s="35"/>
    </row>
    <row r="8" spans="1:7" ht="15" customHeight="1" x14ac:dyDescent="0.2">
      <c r="A8" s="32">
        <v>9</v>
      </c>
      <c r="B8" s="33" t="s">
        <v>138</v>
      </c>
      <c r="C8" s="33" t="s">
        <v>144</v>
      </c>
      <c r="D8" s="34" t="s">
        <v>145</v>
      </c>
      <c r="E8" s="34" t="s">
        <v>146</v>
      </c>
      <c r="F8" s="35"/>
      <c r="G8" s="35"/>
    </row>
    <row r="9" spans="1:7" ht="15" customHeight="1" x14ac:dyDescent="0.2">
      <c r="A9" s="32">
        <v>10</v>
      </c>
      <c r="B9" s="33" t="s">
        <v>138</v>
      </c>
      <c r="C9" s="33" t="s">
        <v>147</v>
      </c>
      <c r="D9" s="34" t="s">
        <v>148</v>
      </c>
      <c r="E9" s="35"/>
      <c r="F9" s="34" t="s">
        <v>149</v>
      </c>
      <c r="G9" s="35"/>
    </row>
    <row r="10" spans="1:7" ht="15" customHeight="1" x14ac:dyDescent="0.2">
      <c r="A10" s="32">
        <v>11</v>
      </c>
      <c r="B10" s="33" t="s">
        <v>138</v>
      </c>
      <c r="C10" s="33" t="s">
        <v>150</v>
      </c>
      <c r="D10" s="34" t="s">
        <v>151</v>
      </c>
      <c r="E10" s="35"/>
      <c r="F10" s="35"/>
      <c r="G10" s="35"/>
    </row>
    <row r="11" spans="1:7" ht="15" customHeight="1" x14ac:dyDescent="0.2">
      <c r="A11" s="32">
        <v>12</v>
      </c>
      <c r="B11" s="33" t="s">
        <v>138</v>
      </c>
      <c r="C11" s="33" t="s">
        <v>152</v>
      </c>
      <c r="D11" s="34" t="s">
        <v>153</v>
      </c>
      <c r="E11" s="35"/>
      <c r="F11" s="35"/>
      <c r="G11" s="35"/>
    </row>
    <row r="12" spans="1:7" ht="15" customHeight="1" x14ac:dyDescent="0.2">
      <c r="A12" s="36">
        <v>13</v>
      </c>
      <c r="B12" s="37" t="s">
        <v>154</v>
      </c>
      <c r="C12" s="37" t="s">
        <v>155</v>
      </c>
      <c r="D12" s="38" t="s">
        <v>156</v>
      </c>
      <c r="E12" s="39"/>
      <c r="F12" s="39"/>
      <c r="G12" s="39"/>
    </row>
    <row r="13" spans="1:7" ht="15" customHeight="1" x14ac:dyDescent="0.2">
      <c r="A13" s="36">
        <v>14</v>
      </c>
      <c r="B13" s="37" t="s">
        <v>154</v>
      </c>
      <c r="C13" s="37" t="s">
        <v>157</v>
      </c>
      <c r="D13" s="38" t="s">
        <v>158</v>
      </c>
      <c r="E13" s="39"/>
      <c r="F13" s="39"/>
      <c r="G13" s="39"/>
    </row>
    <row r="14" spans="1:7" ht="15" customHeight="1" x14ac:dyDescent="0.2">
      <c r="A14" s="36">
        <v>15</v>
      </c>
      <c r="B14" s="37" t="s">
        <v>154</v>
      </c>
      <c r="C14" s="37" t="s">
        <v>159</v>
      </c>
      <c r="D14" s="38" t="s">
        <v>160</v>
      </c>
      <c r="E14" s="39"/>
      <c r="F14" s="39"/>
      <c r="G14" s="39"/>
    </row>
    <row r="15" spans="1:7" ht="15" customHeight="1" x14ac:dyDescent="0.2">
      <c r="A15" s="40">
        <v>16</v>
      </c>
      <c r="B15" s="41" t="s">
        <v>161</v>
      </c>
      <c r="C15" s="41" t="s">
        <v>162</v>
      </c>
      <c r="D15" s="42" t="s">
        <v>163</v>
      </c>
      <c r="E15" s="43"/>
      <c r="F15" s="43"/>
      <c r="G15" s="43"/>
    </row>
    <row r="16" spans="1:7" ht="15" customHeight="1" x14ac:dyDescent="0.2">
      <c r="A16" s="40">
        <v>17</v>
      </c>
      <c r="B16" s="41" t="s">
        <v>161</v>
      </c>
      <c r="C16" s="41" t="s">
        <v>164</v>
      </c>
      <c r="D16" s="42" t="s">
        <v>165</v>
      </c>
      <c r="E16" s="43"/>
      <c r="F16" s="43"/>
      <c r="G16" s="43"/>
    </row>
    <row r="17" spans="1:7" ht="15" customHeight="1" x14ac:dyDescent="0.2">
      <c r="A17" s="40">
        <v>18</v>
      </c>
      <c r="B17" s="41" t="s">
        <v>161</v>
      </c>
      <c r="C17" s="41" t="s">
        <v>166</v>
      </c>
      <c r="D17" s="42" t="s">
        <v>167</v>
      </c>
      <c r="E17" s="43"/>
      <c r="F17" s="43"/>
      <c r="G17" s="43"/>
    </row>
    <row r="18" spans="1:7" ht="15" customHeight="1" x14ac:dyDescent="0.2">
      <c r="A18" s="40">
        <v>19</v>
      </c>
      <c r="B18" s="41" t="s">
        <v>161</v>
      </c>
      <c r="C18" s="41" t="s">
        <v>168</v>
      </c>
      <c r="D18" s="42" t="s">
        <v>169</v>
      </c>
      <c r="E18" s="43"/>
      <c r="F18" s="43"/>
      <c r="G18" s="43"/>
    </row>
    <row r="19" spans="1:7" ht="15" customHeight="1" x14ac:dyDescent="0.2">
      <c r="A19" s="40">
        <v>20</v>
      </c>
      <c r="B19" s="41" t="s">
        <v>161</v>
      </c>
      <c r="C19" s="41" t="s">
        <v>170</v>
      </c>
      <c r="D19" s="42" t="s">
        <v>171</v>
      </c>
      <c r="E19" s="43"/>
      <c r="F19" s="43"/>
      <c r="G19" s="43"/>
    </row>
    <row r="20" spans="1:7" ht="15" customHeight="1" x14ac:dyDescent="0.2">
      <c r="A20" s="44">
        <v>21</v>
      </c>
      <c r="B20" s="45" t="s">
        <v>172</v>
      </c>
      <c r="C20" s="45" t="s">
        <v>173</v>
      </c>
      <c r="D20" s="46" t="s">
        <v>174</v>
      </c>
      <c r="E20" s="47"/>
      <c r="F20" s="47"/>
      <c r="G20" s="47"/>
    </row>
    <row r="21" spans="1:7" ht="15" customHeight="1" x14ac:dyDescent="0.2">
      <c r="A21" s="44">
        <v>22</v>
      </c>
      <c r="B21" s="45" t="s">
        <v>172</v>
      </c>
      <c r="C21" s="45" t="s">
        <v>175</v>
      </c>
      <c r="D21" s="46" t="s">
        <v>176</v>
      </c>
      <c r="E21" s="47"/>
      <c r="F21" s="47"/>
      <c r="G21" s="47"/>
    </row>
    <row r="22" spans="1:7" ht="15" customHeight="1" x14ac:dyDescent="0.2">
      <c r="A22" s="44">
        <v>23</v>
      </c>
      <c r="B22" s="45" t="s">
        <v>172</v>
      </c>
      <c r="C22" s="45" t="s">
        <v>177</v>
      </c>
      <c r="D22" s="46" t="s">
        <v>178</v>
      </c>
      <c r="E22" s="47"/>
      <c r="F22" s="47"/>
      <c r="G22" s="47"/>
    </row>
    <row r="23" spans="1:7" ht="15" customHeight="1" x14ac:dyDescent="0.2">
      <c r="A23" s="44">
        <v>24</v>
      </c>
      <c r="B23" s="45" t="s">
        <v>172</v>
      </c>
      <c r="C23" s="45" t="s">
        <v>179</v>
      </c>
      <c r="D23" s="46" t="s">
        <v>180</v>
      </c>
      <c r="E23" s="47"/>
      <c r="F23" s="47"/>
      <c r="G23" s="47"/>
    </row>
    <row r="24" spans="1:7" ht="15" customHeight="1" x14ac:dyDescent="0.2">
      <c r="A24" s="44">
        <v>25</v>
      </c>
      <c r="B24" s="45" t="s">
        <v>172</v>
      </c>
      <c r="C24" s="45" t="s">
        <v>181</v>
      </c>
      <c r="D24" s="46" t="s">
        <v>182</v>
      </c>
      <c r="E24" s="47"/>
      <c r="F24" s="47"/>
      <c r="G24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 hoạch</vt:lpstr>
      <vt:lpstr>Quy trình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bv-giangnt</dc:creator>
  <cp:lastModifiedBy>Do Pham Tran</cp:lastModifiedBy>
  <dcterms:created xsi:type="dcterms:W3CDTF">2015-06-05T18:17:20Z</dcterms:created>
  <dcterms:modified xsi:type="dcterms:W3CDTF">2026-05-21T09:08:37Z</dcterms:modified>
</cp:coreProperties>
</file>