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ác phòng ban/"/>
    </mc:Choice>
  </mc:AlternateContent>
  <xr:revisionPtr revIDLastSave="11" documentId="11_A9B633644457BD0DA64EDC80D90172FD15435C85" xr6:coauthVersionLast="47" xr6:coauthVersionMax="47" xr10:uidLastSave="{1C6A13FA-0B1D-FF49-9681-328F5A4370E1}"/>
  <bookViews>
    <workbookView xWindow="0" yWindow="660" windowWidth="22920" windowHeight="13760" activeTab="1" xr2:uid="{00000000-000D-0000-FFFF-FFFF00000000}"/>
  </bookViews>
  <sheets>
    <sheet name="Quy trình" sheetId="1" r:id="rId1"/>
    <sheet name="Kế hoạch" sheetId="2" r:id="rId2"/>
  </sheets>
  <definedNames>
    <definedName name="_xlnm._FilterDatabase" localSheetId="1" hidden="1">'Kế hoạch'!$A$1:$AB$32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7MhbI7munyJ/XorJ5AYFW7gawZrZHDZhoUAwA2Yhc8="/>
    </ext>
  </extLst>
</workbook>
</file>

<file path=xl/calcChain.xml><?xml version="1.0" encoding="utf-8"?>
<calcChain xmlns="http://schemas.openxmlformats.org/spreadsheetml/2006/main">
  <c r="AA32" i="2" l="1"/>
  <c r="Z32" i="2"/>
  <c r="U32" i="2"/>
  <c r="T32" i="2"/>
  <c r="S32" i="2"/>
  <c r="AA31" i="2"/>
  <c r="Z31" i="2"/>
  <c r="U31" i="2"/>
  <c r="T31" i="2"/>
  <c r="S31" i="2"/>
  <c r="AA30" i="2"/>
  <c r="Z30" i="2"/>
  <c r="U30" i="2"/>
  <c r="T30" i="2"/>
  <c r="S30" i="2"/>
  <c r="AA29" i="2"/>
  <c r="Z29" i="2"/>
  <c r="U29" i="2"/>
  <c r="T29" i="2"/>
  <c r="S29" i="2"/>
  <c r="AA28" i="2"/>
  <c r="Z28" i="2"/>
  <c r="U28" i="2"/>
  <c r="T28" i="2"/>
  <c r="S28" i="2"/>
  <c r="AA27" i="2"/>
  <c r="Z27" i="2"/>
  <c r="U27" i="2"/>
  <c r="T27" i="2"/>
  <c r="S27" i="2"/>
  <c r="AA26" i="2"/>
  <c r="Z26" i="2"/>
  <c r="U26" i="2"/>
  <c r="T26" i="2"/>
  <c r="S26" i="2"/>
  <c r="AA25" i="2"/>
  <c r="Z25" i="2"/>
  <c r="U25" i="2"/>
  <c r="T25" i="2"/>
  <c r="S25" i="2"/>
  <c r="AA24" i="2"/>
  <c r="Z24" i="2"/>
  <c r="U24" i="2"/>
  <c r="T24" i="2"/>
  <c r="S24" i="2"/>
  <c r="AA23" i="2"/>
  <c r="Z23" i="2"/>
  <c r="U23" i="2"/>
  <c r="T23" i="2"/>
  <c r="S23" i="2"/>
  <c r="AA22" i="2"/>
  <c r="Z22" i="2"/>
  <c r="U22" i="2"/>
  <c r="T22" i="2"/>
  <c r="S22" i="2"/>
  <c r="AA21" i="2"/>
  <c r="Z21" i="2"/>
  <c r="U21" i="2"/>
  <c r="T21" i="2"/>
  <c r="S21" i="2"/>
  <c r="AA20" i="2"/>
  <c r="Z20" i="2"/>
  <c r="U20" i="2"/>
  <c r="T20" i="2"/>
  <c r="S20" i="2"/>
  <c r="AA19" i="2"/>
  <c r="Z19" i="2"/>
  <c r="U19" i="2"/>
  <c r="T19" i="2"/>
  <c r="S19" i="2"/>
  <c r="AA18" i="2"/>
  <c r="Z18" i="2"/>
  <c r="U18" i="2"/>
  <c r="T18" i="2"/>
  <c r="S18" i="2"/>
  <c r="AA17" i="2"/>
  <c r="Z17" i="2"/>
  <c r="U17" i="2"/>
  <c r="T17" i="2"/>
  <c r="S17" i="2"/>
  <c r="AA16" i="2"/>
  <c r="Z16" i="2"/>
  <c r="U16" i="2"/>
  <c r="T16" i="2"/>
  <c r="S16" i="2"/>
  <c r="AA15" i="2"/>
  <c r="Z15" i="2"/>
  <c r="U15" i="2"/>
  <c r="T15" i="2"/>
  <c r="S15" i="2"/>
  <c r="AA14" i="2"/>
  <c r="Z14" i="2"/>
  <c r="U14" i="2"/>
  <c r="T14" i="2"/>
  <c r="S14" i="2"/>
  <c r="AA13" i="2"/>
  <c r="Z13" i="2"/>
  <c r="U13" i="2"/>
  <c r="T13" i="2"/>
  <c r="S13" i="2"/>
  <c r="AA12" i="2"/>
  <c r="Z12" i="2"/>
  <c r="U12" i="2"/>
  <c r="T12" i="2"/>
  <c r="S12" i="2"/>
  <c r="AA11" i="2"/>
  <c r="Z11" i="2"/>
  <c r="U11" i="2"/>
  <c r="T11" i="2"/>
  <c r="S11" i="2"/>
  <c r="AA10" i="2"/>
  <c r="Z10" i="2"/>
  <c r="U10" i="2"/>
  <c r="T10" i="2"/>
  <c r="S10" i="2"/>
  <c r="AA9" i="2"/>
  <c r="Z9" i="2"/>
  <c r="U9" i="2"/>
  <c r="T9" i="2"/>
  <c r="S9" i="2"/>
  <c r="AA8" i="2"/>
  <c r="Z8" i="2"/>
  <c r="U8" i="2"/>
  <c r="T8" i="2"/>
  <c r="S8" i="2"/>
  <c r="AA7" i="2"/>
  <c r="Z7" i="2"/>
  <c r="U7" i="2"/>
  <c r="T7" i="2"/>
  <c r="S7" i="2"/>
  <c r="AA6" i="2"/>
  <c r="Z6" i="2"/>
  <c r="U6" i="2"/>
  <c r="T6" i="2"/>
  <c r="S6" i="2"/>
  <c r="AA5" i="2"/>
  <c r="Z5" i="2"/>
  <c r="U5" i="2"/>
  <c r="T5" i="2"/>
  <c r="S5" i="2"/>
  <c r="AA4" i="2"/>
  <c r="Z4" i="2"/>
  <c r="U4" i="2"/>
  <c r="T4" i="2"/>
  <c r="S4" i="2"/>
  <c r="AA3" i="2"/>
  <c r="Z3" i="2"/>
  <c r="AA2" i="2"/>
  <c r="Z2" i="2"/>
</calcChain>
</file>

<file path=xl/sharedStrings.xml><?xml version="1.0" encoding="utf-8"?>
<sst xmlns="http://schemas.openxmlformats.org/spreadsheetml/2006/main" count="414" uniqueCount="157">
  <si>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</si>
  <si>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</si>
  <si>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</si>
  <si>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</si>
  <si>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</si>
  <si>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</si>
  <si>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</si>
  <si>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</si>
  <si>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</si>
  <si>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</si>
  <si>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</si>
  <si>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</si>
  <si>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</si>
  <si>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</si>
  <si>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</si>
  <si>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</si>
  <si>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</si>
  <si>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</si>
  <si>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</si>
  <si>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</si>
  <si>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</si>
  <si>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</si>
  <si>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</si>
  <si>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</si>
  <si>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</si>
  <si>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</si>
  <si>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hoi.nguyenthanh@phenikaa-uni.edu.vn
ngoquoccuong.pnt@gmail.com
daotao@phenikaamec.com
hangntv@phenikaamec.com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</si>
  <si>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</si>
  <si>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</si>
  <si>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</si>
  <si>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</si>
  <si>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</si>
  <si>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</si>
  <si>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</si>
  <si>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</si>
  <si>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</si>
  <si>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</si>
  <si>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</si>
  <si>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</si>
  <si>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</si>
  <si>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</si>
  <si>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</si>
  <si>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</si>
  <si>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</si>
  <si>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</si>
  <si>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</si>
  <si>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</si>
  <si>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</si>
  <si>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</si>
  <si>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</si>
  <si>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</si>
  <si>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</si>
  <si>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</si>
  <si>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</si>
  <si>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</si>
  <si>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</si>
  <si>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</si>
  <si>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</si>
  <si>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</si>
  <si>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</si>
  <si>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</si>
  <si>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</si>
  <si>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</si>
  <si>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THỨ</t>
  </si>
  <si>
    <t>Ngày</t>
  </si>
  <si>
    <t>Tháng</t>
  </si>
  <si>
    <t>NỘI DUNG/CHƯƠNG TRÌNH</t>
  </si>
  <si>
    <t>ĐỐI TƯỢNG</t>
  </si>
  <si>
    <t>ĐỊA ĐIỂM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</si>
  <si>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</si>
  <si>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</si>
  <si>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</si>
  <si>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</si>
  <si>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</si>
  <si>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</si>
  <si>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</si>
  <si>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</si>
  <si>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</si>
  <si>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</si>
  <si>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</si>
  <si>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</si>
  <si>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</si>
  <si>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</si>
  <si>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</si>
  <si>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Sáu</t>
  </si>
  <si>
    <t>15h-16h</t>
  </si>
  <si>
    <t>LCK RHM</t>
  </si>
  <si>
    <t>Quy trình mang và tháo khẩu trang</t>
  </si>
  <si>
    <t>Phan Thị Hường</t>
  </si>
  <si>
    <t>Bác sĩ, Điều dưỡng LCK</t>
  </si>
  <si>
    <t>Phòng Hành chính Khoa RHM, tầng 2 nhà A</t>
  </si>
  <si>
    <t>Nguyễn Phương Mai</t>
  </si>
  <si>
    <t>Có</t>
  </si>
  <si>
    <t>SHCM mang và tháo khẩu trang 8_5_2026 (Câu trả lời).xlsx</t>
  </si>
  <si>
    <t>Bảng kiểm - 8.5.26.pdf</t>
  </si>
  <si>
    <t>SHCM Tháo và mang khẩu trang.pptx</t>
  </si>
  <si>
    <t>Không có</t>
  </si>
  <si>
    <t>Chuyển từ thứ 5 sang thứ 6 vì BCV có việc bận</t>
  </si>
  <si>
    <t>Thứ Năm</t>
  </si>
  <si>
    <t>13h15-14h15</t>
  </si>
  <si>
    <t xml:space="preserve">Chuẩn bị người bệnh trước phẫu thuật </t>
  </si>
  <si>
    <t>Nguyễn Thị Thiên Luân</t>
  </si>
  <si>
    <t>Chuẩn bị NB trước phẫu thuật (Câu trả lời).xlsx</t>
  </si>
  <si>
    <t>Bảng kiểm shcm - 15.5.pdf</t>
  </si>
  <si>
    <t>SHCM chuẩn bị trước phẫu thuật.pptx</t>
  </si>
  <si>
    <t>Quy trình gửi mẫu labo nha khoa tại Liên chuyên khoa</t>
  </si>
  <si>
    <t>Hồ Thị Thảo Hiền</t>
  </si>
  <si>
    <t xml:space="preserve">Đau và kiểm soát đau </t>
  </si>
  <si>
    <t>Lê Thị Mai</t>
  </si>
  <si>
    <t>Tổng quan kém khoáng hóa răng hàm răng cửa (MIH)</t>
  </si>
  <si>
    <t>Nguyễn Thị Ngọc Anh</t>
  </si>
  <si>
    <t>Tổng quan Laser trong nha khoa</t>
  </si>
  <si>
    <t>Hướng dẫn chẩn đoán và điều trị bệnh lý u vùng hàm mặt</t>
  </si>
  <si>
    <t>Trịnh Hồng Mỹ</t>
  </si>
  <si>
    <t>Đào tạo và chuẩn hóa Quy trình kĩ thuật Phụ bác sĩ phẫu thuật nhổ răng.</t>
  </si>
  <si>
    <t>Lê Thị Châu</t>
  </si>
  <si>
    <t xml:space="preserve">Các loại dung dịch bơm rửa trong điều trị nội nha </t>
  </si>
  <si>
    <t>Nguyễn Thu Thảo</t>
  </si>
  <si>
    <t>Thứ Hai</t>
  </si>
  <si>
    <t>Ứng dụng chẩn đoán hình ảnh trong chuyên khoa Răng Hàm Mặt</t>
  </si>
  <si>
    <t>Bác sĩ, Điều dưỡng RHM</t>
  </si>
  <si>
    <t>Quy trình vệ sinh và khử khuẩn ghế răng sau mỗi ca khám và điều trị</t>
  </si>
  <si>
    <t>0982165348</t>
  </si>
  <si>
    <t>Ứng dụng SEALANT trong trám bít hố rãnh dự phòng sâu răng ở trẻ nhỏ</t>
  </si>
  <si>
    <t>Quy trình tiệt khuẩn và bảo quản dụng cụ nha khoa</t>
  </si>
  <si>
    <t>Trần Thu Hương</t>
  </si>
  <si>
    <t>Điều trị tủy buồng răng sữa</t>
  </si>
  <si>
    <t>Hướng dẫn người bệnh trước phẫu thuật, thủ thuật nha khoa</t>
  </si>
  <si>
    <t>0982165350</t>
  </si>
  <si>
    <t>Cập nhật điều trị viêm quanh răng bằng phương pháp phẫu thuật</t>
  </si>
  <si>
    <t>0982165353</t>
  </si>
  <si>
    <t>Chuẩn hóa quy trình chuẩn bị dụng cụ trong hàn răng</t>
  </si>
  <si>
    <t>0982165351</t>
  </si>
  <si>
    <t>Quy trình thiết kế máng hướng dẫn phẫu thuật implant</t>
  </si>
  <si>
    <t>Bùi Tiến Đạt</t>
  </si>
  <si>
    <t>0982165352</t>
  </si>
  <si>
    <t>Nhổ răng có hướng dẫn</t>
  </si>
  <si>
    <t>0982165349</t>
  </si>
  <si>
    <t>Cập nhât chẩn đoán và xử lý ban đấu chấn thương sọ mặt</t>
  </si>
  <si>
    <t>0982165355</t>
  </si>
  <si>
    <t>Hướng dẫn người bệnh chăm sóc răng miệng cơ bản tại nhà</t>
  </si>
  <si>
    <t>Các điểm mốc giải phẫu trên phim đo sọ mặt nghiêng Cephalometric</t>
  </si>
  <si>
    <t>An toàn bức xạ và sử dụng áo chì trong chụp phim X-quang răng hàm mặt</t>
  </si>
  <si>
    <t>Nội nha tái sinh cho răng vĩnh viễn chưa đóng chóp</t>
  </si>
  <si>
    <t>Hướng dẫn quy trình kỹ thuật lấy máu và tách chiết huyết tương giàu tiểu cầu (PRF) trong điều trị nha khoa</t>
  </si>
  <si>
    <t>Chăm sóc người bệnh đang buộc cố định hai hàm</t>
  </si>
  <si>
    <t>Vital Pulp Therapy - Liệu pháp tủy sống trong điều trị nha khoa</t>
  </si>
  <si>
    <t>Quản lý mô mềm quanh implant</t>
  </si>
  <si>
    <t>Tổng quan điều trị chấn thương răng</t>
  </si>
  <si>
    <t>Chẩn đoán và điều tri ung thư niêm mạc miệng</t>
  </si>
  <si>
    <t>Điều trị viêm quanh răng: ca bệnh lâm sàng</t>
  </si>
  <si>
    <t>ĐƠN VỊ</t>
  </si>
  <si>
    <t>Năm</t>
  </si>
  <si>
    <t>Giờ</t>
  </si>
  <si>
    <t>BÁO CÁO VIÊN</t>
  </si>
  <si>
    <t>NGƯỜI PHỤ TRÁCH NỘI DUNG</t>
  </si>
  <si>
    <t>ĐẦU MỐI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</si>
</sst>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9" x14ac:knownFonts="1">
    <font>
      <sz val="11"/>
      <color theme="1"/>
      <name val="Calibri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color rgb="FF081B3A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2" fillId="4" borderId="1" xfId="0" applyFont="1" applyFill="1" applyBorder="1" applyAlignment="1">
      <alignment horizontal="right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right"/>
    </xf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164" fontId="4" fillId="8" borderId="5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D9D9D9"/>
          <bgColor rgb="FFD9D9D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rgb="FFFFFF00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B57E3-FC05-4A2E-A564-F8F1B0613B41}" name="Table1" displayName="Table1" ref="A1:AB32" totalsRowShown="0" headerRowBorderDxfId="30" tableBorderDxfId="29" totalsRowBorderDxfId="28">
  <autoFilter ref="A1:AB32" xr:uid="{92FB57E3-FC05-4A2E-A564-F8F1B0613B41}"/>
  <tableColumns count="28">
    <tableColumn id="1" xr3:uid="{688DB699-5E4D-4816-A227-F9BF828C8B58}" name="STT" dataDxfId="27"/>
    <tableColumn id="2" xr3:uid="{2C2AD946-549C-49E8-934B-DBBDAAAD9BC5}" name="THỨ" dataDxfId="26"/>
    <tableColumn id="3" xr3:uid="{6F6FE9C1-4EFE-43FA-A018-B3F2406E9E9C}" name="Giờ" dataDxfId="25"/>
    <tableColumn id="4" xr3:uid="{A8D9EEEC-8AB4-47CA-B975-0ED4DEAD69F9}" name="Ngày" dataDxfId="24"/>
    <tableColumn id="5" xr3:uid="{08AF1278-83BC-415B-8E84-040034AE4C77}" name="Tháng" dataDxfId="23"/>
    <tableColumn id="28" xr3:uid="{1601F0C1-572A-43D1-9AF0-7BF688271254}" name="Năm" dataDxfId="22"/>
    <tableColumn id="6" xr3:uid="{372278A3-5FFB-4730-807F-F5BC940FEEEC}" name="ĐƠN VỊ" dataDxfId="21"/>
    <tableColumn id="7" xr3:uid="{39D5F45E-9C8B-42B0-9713-76FBA1B70F41}" name="NỘI DUNG/CHƯƠNG TRÌNH" dataDxfId="20"/>
    <tableColumn id="8" xr3:uid="{6B0A069E-9988-4562-9938-EF65197D9C10}" name="BÁO CÁO VIÊN" dataDxfId="19"/>
    <tableColumn id="9" xr3:uid="{6820F18D-DC71-4FBF-A330-436A7465B27D}" name="NGƯỜI PHỤ TRÁCH NỘI DUNG" dataDxfId="18"/>
    <tableColumn id="10" xr3:uid="{8DEBC849-4A39-4374-BEA3-1DED0EA563E1}" name="ĐỐI TƯỢNG" dataDxfId="17"/>
    <tableColumn id="11" xr3:uid="{FD05CD57-46E3-4193-9742-D520AD6BF58C}" name="ĐỊA ĐIỂM" dataDxfId="16"/>
    <tableColumn id="12" xr3:uid="{88E41171-9C7B-4312-A2BB-AD724C082C11}" name="ĐẦU MỐI" dataDxfId="15"/>
    <tableColumn id="13" xr3:uid="{15CD59BC-208E-4885-8DCE-1C4B1A3A8621}" name="LIÊN HỆ" dataDxfId="14"/>
    <tableColumn id="14" xr3:uid="{ACAD2754-3093-4B1F-A72B-06EFA32F8681}" name="Số học viên tham gia" dataDxfId="13"/>
    <tableColumn id="15" xr3:uid="{E274EF84-98F9-461B-A914-8F769C5A58B1}" name="Số Học viên đạt" dataDxfId="12"/>
    <tableColumn id="16" xr3:uid="{6FB0B7A5-43E7-4724-8AEE-8502B284F54F}" name="Số HV không đạt" dataDxfId="11"/>
    <tableColumn id="17" xr3:uid="{8D3901E9-188E-42F5-9100-F33F1A3540F5}" name="Đúng form post test điểm danh (ít nhất 10 câu): Có/Không" dataDxfId="10"/>
    <tableColumn id="18" xr3:uid="{5B2B5DBF-2D4C-4DE8-90C3-2524F963F9FE}" name="Có bài post test" dataDxfId="9">
      <calculatedColumnFormula>IF(V2&gt;0,"Có","Không")</calculatedColumnFormula>
    </tableColumn>
    <tableColumn id="19" xr3:uid="{982127EE-EA7F-4B9D-8576-DCC91057AB88}" name="Có bảng kiểm" dataDxfId="8">
      <calculatedColumnFormula>IF(W2&gt;0,"Có","Không")</calculatedColumnFormula>
    </tableColumn>
    <tableColumn id="20" xr3:uid="{9522688A-B8DA-49DC-8DA3-5CF4B6203011}" name="Có bài báo cáo" dataDxfId="7">
      <calculatedColumnFormula>IF(X2&gt;0,"Có","Không")</calculatedColumnFormula>
    </tableColumn>
    <tableColumn id="21" xr3:uid="{3FCF2900-22BD-4595-AFE4-9AD736733F11}" name="Gắn link Điểm danh và post test" dataDxfId="6"/>
    <tableColumn id="22" xr3:uid="{3EA47C21-9BF5-4CB4-BAA0-5EDF97F4FA31}" name="Gắn link bảng kiểm đào tạo nội bộ" dataDxfId="5"/>
    <tableColumn id="23" xr3:uid="{F6D9F1A8-89B7-4064-BF75-E6C7DBA16EA3}" name="Gắn link bài báo cáo" dataDxfId="4"/>
    <tableColumn id="24" xr3:uid="{CAD1C0D3-9EA3-4AE6-A16E-7529149D22F0}" name="Gắn link video buổi đào tạo" dataDxfId="3"/>
    <tableColumn id="25" xr3:uid="{80E48CD3-7B2C-47C8-A8B6-2955BBD4CA24}" name="Tình trạng thực hiện" dataDxfId="2">
      <calculatedColumnFormula>IF(COUNTA(V2:X2)&gt;0,"Thực hiện","Không thực hiện")</calculatedColumnFormula>
    </tableColumn>
    <tableColumn id="26" xr3:uid="{1EB443F7-1DB9-47FE-B641-73A686C7663B}" name="Cập nhật calendar" dataDxfId="1">
      <calculatedColumnFormula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calculatedColumnFormula>
    </tableColumn>
    <tableColumn id="27" xr3:uid="{A27B7F21-26CC-4421-8C2C-9131DFF2B9D2}" name="Lý do hoãn/hủy/ghi chú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presentation/d/1tTMlZXQGYdGOTViDjKMQ9lmwKXugh-Y3/edit?usp=drive_link&amp;ouid=115673515209080035545&amp;rtpof=true&amp;sd=true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drive.google.com/file/d/1EptJnha62W7lDg_358WoQbkP_5OMpJUr/view?usp=drive_link" TargetMode="External"/><Relationship Id="rId1" Type="http://schemas.openxmlformats.org/officeDocument/2006/relationships/hyperlink" Target="https://docs.google.com/spreadsheets/d/1Kx4Alb-k4yTv7VObnBdbXT_6y2fvXa03/edit?usp=drive_link&amp;ouid=115673515209080035545&amp;rtpof=true&amp;sd=true" TargetMode="External"/><Relationship Id="rId6" Type="http://schemas.openxmlformats.org/officeDocument/2006/relationships/hyperlink" Target="https://docs.google.com/presentation/d/1QMzEVkvkVi3yXsq5I_DvfCo5u0jupOOm/edit?usp=sharing&amp;ouid=111889966407667265360&amp;rtpof=true&amp;sd=true" TargetMode="External"/><Relationship Id="rId5" Type="http://schemas.openxmlformats.org/officeDocument/2006/relationships/hyperlink" Target="https://drive.google.com/file/d/1xS26whITTByXSN1A9Sh6To16E8EdJTkn/view?usp=sharing" TargetMode="External"/><Relationship Id="rId4" Type="http://schemas.openxmlformats.org/officeDocument/2006/relationships/hyperlink" Target="https://docs.google.com/spreadsheets/d/1ZRp-lwQ4vl--0BKZCToVrWbeCwLBToxa/edit?usp=sharing&amp;ouid=11188996640766726536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workbookViewId="0"/>
  </sheetViews>
  <sheetFormatPr baseColWidth="10" defaultColWidth="14.5" defaultRowHeight="15" customHeight="1" x14ac:dyDescent="0.2"/>
  <cols>
    <col min="1" max="1" width="5.1640625" customWidth="1"/>
    <col min="2" max="2" width="20" customWidth="1"/>
    <col min="3" max="3" width="27.1640625" customWidth="1"/>
    <col min="4" max="4" width="55.83203125" customWidth="1"/>
    <col min="5" max="5" width="35.5" customWidth="1"/>
    <col min="7" max="7" width="38.5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 x14ac:dyDescent="0.2">
      <c r="A2" s="3">
        <v>1</v>
      </c>
      <c r="B2" s="4" t="s">
        <v>7</v>
      </c>
      <c r="C2" s="4" t="s">
        <v>8</v>
      </c>
      <c r="D2" s="5" t="s">
        <v>9</v>
      </c>
      <c r="E2" s="6"/>
      <c r="F2" s="6"/>
      <c r="G2" s="6"/>
    </row>
    <row r="3" spans="1:7" ht="15" customHeight="1" x14ac:dyDescent="0.2">
      <c r="A3" s="3">
        <v>2</v>
      </c>
      <c r="B3" s="4" t="s">
        <v>7</v>
      </c>
      <c r="C3" s="4" t="s">
        <v>10</v>
      </c>
      <c r="D3" s="5" t="s">
        <v>11</v>
      </c>
      <c r="E3" s="5" t="s">
        <v>12</v>
      </c>
      <c r="F3" s="5" t="s">
        <v>13</v>
      </c>
      <c r="G3" s="5"/>
    </row>
    <row r="4" spans="1:7" ht="15" customHeight="1" x14ac:dyDescent="0.2">
      <c r="A4" s="3">
        <v>4</v>
      </c>
      <c r="B4" s="4" t="s">
        <v>7</v>
      </c>
      <c r="C4" s="4" t="s">
        <v>14</v>
      </c>
      <c r="D4" s="5" t="s">
        <v>15</v>
      </c>
      <c r="E4" s="5" t="s">
        <v>12</v>
      </c>
      <c r="F4" s="6"/>
      <c r="G4" s="6"/>
    </row>
    <row r="5" spans="1:7" ht="15" customHeight="1" x14ac:dyDescent="0.2">
      <c r="A5" s="3">
        <v>6</v>
      </c>
      <c r="B5" s="4" t="s">
        <v>7</v>
      </c>
      <c r="C5" s="4" t="s">
        <v>16</v>
      </c>
      <c r="D5" s="5" t="s">
        <v>17</v>
      </c>
      <c r="E5" s="6"/>
      <c r="F5" s="6"/>
      <c r="G5" s="6"/>
    </row>
    <row r="6" spans="1:7" ht="15" customHeight="1" x14ac:dyDescent="0.2">
      <c r="A6" s="7">
        <v>7</v>
      </c>
      <c r="B6" s="8" t="s">
        <v>18</v>
      </c>
      <c r="C6" s="8" t="s">
        <v>19</v>
      </c>
      <c r="D6" s="9" t="s">
        <v>20</v>
      </c>
      <c r="E6" s="10"/>
      <c r="F6" s="9" t="s">
        <v>21</v>
      </c>
      <c r="G6" s="10"/>
    </row>
    <row r="7" spans="1:7" ht="15" customHeight="1" x14ac:dyDescent="0.2">
      <c r="A7" s="7">
        <v>8</v>
      </c>
      <c r="B7" s="8" t="s">
        <v>18</v>
      </c>
      <c r="C7" s="8" t="s">
        <v>22</v>
      </c>
      <c r="D7" s="9" t="s">
        <v>23</v>
      </c>
      <c r="E7" s="10"/>
      <c r="F7" s="10"/>
      <c r="G7" s="10"/>
    </row>
    <row r="8" spans="1:7" ht="15" customHeight="1" x14ac:dyDescent="0.2">
      <c r="A8" s="7">
        <v>9</v>
      </c>
      <c r="B8" s="8" t="s">
        <v>18</v>
      </c>
      <c r="C8" s="8" t="s">
        <v>24</v>
      </c>
      <c r="D8" s="9" t="s">
        <v>25</v>
      </c>
      <c r="E8" s="9" t="s">
        <v>26</v>
      </c>
      <c r="F8" s="10"/>
      <c r="G8" s="10"/>
    </row>
    <row r="9" spans="1:7" ht="15" customHeight="1" x14ac:dyDescent="0.2">
      <c r="A9" s="7">
        <v>10</v>
      </c>
      <c r="B9" s="8" t="s">
        <v>18</v>
      </c>
      <c r="C9" s="8" t="s">
        <v>27</v>
      </c>
      <c r="D9" s="9" t="s">
        <v>28</v>
      </c>
      <c r="E9" s="10"/>
      <c r="F9" s="9" t="s">
        <v>29</v>
      </c>
      <c r="G9" s="10"/>
    </row>
    <row r="10" spans="1:7" ht="15" customHeight="1" x14ac:dyDescent="0.2">
      <c r="A10" s="7">
        <v>11</v>
      </c>
      <c r="B10" s="8" t="s">
        <v>18</v>
      </c>
      <c r="C10" s="8" t="s">
        <v>30</v>
      </c>
      <c r="D10" s="9" t="s">
        <v>31</v>
      </c>
      <c r="E10" s="10"/>
      <c r="F10" s="10"/>
      <c r="G10" s="10"/>
    </row>
    <row r="11" spans="1:7" ht="15" customHeight="1" x14ac:dyDescent="0.2">
      <c r="A11" s="7">
        <v>12</v>
      </c>
      <c r="B11" s="8" t="s">
        <v>18</v>
      </c>
      <c r="C11" s="8" t="s">
        <v>32</v>
      </c>
      <c r="D11" s="9" t="s">
        <v>33</v>
      </c>
      <c r="E11" s="10"/>
      <c r="F11" s="10"/>
      <c r="G11" s="10"/>
    </row>
    <row r="12" spans="1:7" ht="15" customHeight="1" x14ac:dyDescent="0.2">
      <c r="A12" s="11">
        <v>13</v>
      </c>
      <c r="B12" s="12" t="s">
        <v>34</v>
      </c>
      <c r="C12" s="12" t="s">
        <v>35</v>
      </c>
      <c r="D12" s="13" t="s">
        <v>36</v>
      </c>
      <c r="E12" s="14"/>
      <c r="F12" s="14"/>
      <c r="G12" s="14"/>
    </row>
    <row r="13" spans="1:7" ht="15" customHeight="1" x14ac:dyDescent="0.2">
      <c r="A13" s="11">
        <v>14</v>
      </c>
      <c r="B13" s="12" t="s">
        <v>34</v>
      </c>
      <c r="C13" s="12" t="s">
        <v>37</v>
      </c>
      <c r="D13" s="13" t="s">
        <v>38</v>
      </c>
      <c r="E13" s="14"/>
      <c r="F13" s="14"/>
      <c r="G13" s="14"/>
    </row>
    <row r="14" spans="1:7" ht="15" customHeight="1" x14ac:dyDescent="0.2">
      <c r="A14" s="11">
        <v>15</v>
      </c>
      <c r="B14" s="12" t="s">
        <v>34</v>
      </c>
      <c r="C14" s="12" t="s">
        <v>39</v>
      </c>
      <c r="D14" s="13" t="s">
        <v>40</v>
      </c>
      <c r="E14" s="14"/>
      <c r="F14" s="14"/>
      <c r="G14" s="14"/>
    </row>
    <row r="15" spans="1:7" ht="15" customHeight="1" x14ac:dyDescent="0.2">
      <c r="A15" s="15">
        <v>16</v>
      </c>
      <c r="B15" s="16" t="s">
        <v>41</v>
      </c>
      <c r="C15" s="16" t="s">
        <v>42</v>
      </c>
      <c r="D15" s="17" t="s">
        <v>43</v>
      </c>
      <c r="E15" s="18"/>
      <c r="F15" s="18"/>
      <c r="G15" s="18"/>
    </row>
    <row r="16" spans="1:7" ht="15" customHeight="1" x14ac:dyDescent="0.2">
      <c r="A16" s="15">
        <v>17</v>
      </c>
      <c r="B16" s="16" t="s">
        <v>41</v>
      </c>
      <c r="C16" s="16" t="s">
        <v>44</v>
      </c>
      <c r="D16" s="17" t="s">
        <v>45</v>
      </c>
      <c r="E16" s="18"/>
      <c r="F16" s="18"/>
      <c r="G16" s="18"/>
    </row>
    <row r="17" spans="1:7" ht="15" customHeight="1" x14ac:dyDescent="0.2">
      <c r="A17" s="15">
        <v>18</v>
      </c>
      <c r="B17" s="16" t="s">
        <v>41</v>
      </c>
      <c r="C17" s="16" t="s">
        <v>46</v>
      </c>
      <c r="D17" s="17" t="s">
        <v>47</v>
      </c>
      <c r="E17" s="18"/>
      <c r="F17" s="18"/>
      <c r="G17" s="18"/>
    </row>
    <row r="18" spans="1:7" ht="15" customHeight="1" x14ac:dyDescent="0.2">
      <c r="A18" s="15">
        <v>19</v>
      </c>
      <c r="B18" s="16" t="s">
        <v>41</v>
      </c>
      <c r="C18" s="16" t="s">
        <v>48</v>
      </c>
      <c r="D18" s="17" t="s">
        <v>49</v>
      </c>
      <c r="E18" s="18"/>
      <c r="F18" s="18"/>
      <c r="G18" s="18"/>
    </row>
    <row r="19" spans="1:7" ht="15" customHeight="1" x14ac:dyDescent="0.2">
      <c r="A19" s="15">
        <v>20</v>
      </c>
      <c r="B19" s="16" t="s">
        <v>41</v>
      </c>
      <c r="C19" s="16" t="s">
        <v>50</v>
      </c>
      <c r="D19" s="17" t="s">
        <v>51</v>
      </c>
      <c r="E19" s="18"/>
      <c r="F19" s="18"/>
      <c r="G19" s="18"/>
    </row>
    <row r="20" spans="1:7" ht="15" customHeight="1" x14ac:dyDescent="0.2">
      <c r="A20" s="19">
        <v>21</v>
      </c>
      <c r="B20" s="20" t="s">
        <v>52</v>
      </c>
      <c r="C20" s="20" t="s">
        <v>53</v>
      </c>
      <c r="D20" s="21" t="s">
        <v>54</v>
      </c>
      <c r="E20" s="22"/>
      <c r="F20" s="22"/>
      <c r="G20" s="22"/>
    </row>
    <row r="21" spans="1:7" ht="15" customHeight="1" x14ac:dyDescent="0.2">
      <c r="A21" s="19">
        <v>22</v>
      </c>
      <c r="B21" s="20" t="s">
        <v>52</v>
      </c>
      <c r="C21" s="20" t="s">
        <v>55</v>
      </c>
      <c r="D21" s="21" t="s">
        <v>56</v>
      </c>
      <c r="E21" s="22"/>
      <c r="F21" s="22"/>
      <c r="G21" s="22"/>
    </row>
    <row r="22" spans="1:7" ht="15" customHeight="1" x14ac:dyDescent="0.2">
      <c r="A22" s="19">
        <v>23</v>
      </c>
      <c r="B22" s="20" t="s">
        <v>52</v>
      </c>
      <c r="C22" s="20" t="s">
        <v>57</v>
      </c>
      <c r="D22" s="21" t="s">
        <v>58</v>
      </c>
      <c r="E22" s="22"/>
      <c r="F22" s="22"/>
      <c r="G22" s="22"/>
    </row>
    <row r="23" spans="1:7" ht="15" customHeight="1" x14ac:dyDescent="0.2">
      <c r="A23" s="19">
        <v>24</v>
      </c>
      <c r="B23" s="20" t="s">
        <v>52</v>
      </c>
      <c r="C23" s="20" t="s">
        <v>59</v>
      </c>
      <c r="D23" s="21" t="s">
        <v>60</v>
      </c>
      <c r="E23" s="22"/>
      <c r="F23" s="22"/>
      <c r="G23" s="22"/>
    </row>
    <row r="24" spans="1:7" ht="15" customHeight="1" x14ac:dyDescent="0.2">
      <c r="A24" s="19">
        <v>25</v>
      </c>
      <c r="B24" s="20" t="s">
        <v>52</v>
      </c>
      <c r="C24" s="20" t="s">
        <v>61</v>
      </c>
      <c r="D24" s="21" t="s">
        <v>62</v>
      </c>
      <c r="E24" s="22"/>
      <c r="F24" s="22"/>
      <c r="G2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32"/>
  <sheetViews>
    <sheetView tabSelected="1" topLeftCell="J1" workbookViewId="0">
      <selection activeCell="M2" sqref="M2"/>
    </sheetView>
  </sheetViews>
  <sheetFormatPr baseColWidth="10" defaultColWidth="14.5" defaultRowHeight="15" customHeight="1" x14ac:dyDescent="0.2"/>
  <cols>
    <col min="1" max="1" width="8.5" customWidth="1"/>
    <col min="2" max="2" width="12.83203125" customWidth="1"/>
    <col min="3" max="3" width="18.33203125" customWidth="1"/>
    <col min="4" max="4" width="11" customWidth="1"/>
    <col min="5" max="6" width="11.1640625" customWidth="1"/>
    <col min="7" max="7" width="18.6640625" customWidth="1"/>
    <col min="8" max="8" width="54.1640625" customWidth="1"/>
    <col min="9" max="9" width="46.83203125" customWidth="1"/>
    <col min="10" max="10" width="47.6640625" customWidth="1"/>
    <col min="11" max="11" width="25" customWidth="1"/>
    <col min="12" max="12" width="35.83203125" customWidth="1"/>
    <col min="13" max="13" width="37.83203125" customWidth="1"/>
    <col min="14" max="14" width="17.6640625" customWidth="1"/>
    <col min="15" max="15" width="22.6640625" customWidth="1"/>
    <col min="16" max="16" width="18.1640625" customWidth="1"/>
    <col min="17" max="17" width="19.5" customWidth="1"/>
    <col min="18" max="18" width="57.83203125" customWidth="1"/>
    <col min="19" max="19" width="18" customWidth="1"/>
    <col min="20" max="21" width="17.6640625" customWidth="1"/>
    <col min="22" max="22" width="33.6640625" customWidth="1"/>
    <col min="23" max="23" width="35.5" customWidth="1"/>
    <col min="24" max="24" width="22.5" customWidth="1"/>
    <col min="25" max="25" width="29.1640625" customWidth="1"/>
    <col min="26" max="26" width="22.5" customWidth="1"/>
    <col min="27" max="27" width="57.5" customWidth="1"/>
    <col min="28" max="28" width="25" customWidth="1"/>
  </cols>
  <sheetData>
    <row r="1" spans="1:28" ht="15" customHeight="1" x14ac:dyDescent="0.2">
      <c r="A1" s="33" t="s">
        <v>0</v>
      </c>
      <c r="B1" s="34" t="s">
        <v>63</v>
      </c>
      <c r="C1" s="34" t="s">
        <v>153</v>
      </c>
      <c r="D1" s="34" t="s">
        <v>64</v>
      </c>
      <c r="E1" s="34" t="s">
        <v>65</v>
      </c>
      <c r="F1" s="34" t="s">
        <v>152</v>
      </c>
      <c r="G1" s="34" t="s">
        <v>151</v>
      </c>
      <c r="H1" s="34" t="s">
        <v>66</v>
      </c>
      <c r="I1" s="34" t="s">
        <v>154</v>
      </c>
      <c r="J1" s="34" t="s">
        <v>155</v>
      </c>
      <c r="K1" s="34" t="s">
        <v>67</v>
      </c>
      <c r="L1" s="34" t="s">
        <v>68</v>
      </c>
      <c r="M1" s="34" t="s">
        <v>156</v>
      </c>
      <c r="N1" s="35" t="s">
        <v>69</v>
      </c>
      <c r="O1" s="35" t="s">
        <v>70</v>
      </c>
      <c r="P1" s="35" t="s">
        <v>71</v>
      </c>
      <c r="Q1" s="35" t="s">
        <v>72</v>
      </c>
      <c r="R1" s="35" t="s">
        <v>73</v>
      </c>
      <c r="S1" s="36" t="s">
        <v>74</v>
      </c>
      <c r="T1" s="36" t="s">
        <v>75</v>
      </c>
      <c r="U1" s="36" t="s">
        <v>76</v>
      </c>
      <c r="V1" s="37" t="s">
        <v>77</v>
      </c>
      <c r="W1" s="37" t="s">
        <v>78</v>
      </c>
      <c r="X1" s="37" t="s">
        <v>79</v>
      </c>
      <c r="Y1" s="37" t="s">
        <v>80</v>
      </c>
      <c r="Z1" s="36" t="s">
        <v>81</v>
      </c>
      <c r="AA1" s="36" t="s">
        <v>82</v>
      </c>
      <c r="AB1" s="38" t="s">
        <v>83</v>
      </c>
    </row>
    <row r="2" spans="1:28" ht="15" customHeight="1" x14ac:dyDescent="0.2">
      <c r="A2" s="31">
        <v>1</v>
      </c>
      <c r="B2" s="23" t="s">
        <v>84</v>
      </c>
      <c r="C2" s="23" t="s">
        <v>85</v>
      </c>
      <c r="D2" s="23">
        <v>8</v>
      </c>
      <c r="E2" s="23">
        <v>5</v>
      </c>
      <c r="F2" s="23">
        <v>2026</v>
      </c>
      <c r="G2" s="23" t="s">
        <v>86</v>
      </c>
      <c r="H2" s="24" t="s">
        <v>87</v>
      </c>
      <c r="I2" s="24" t="s">
        <v>88</v>
      </c>
      <c r="J2" s="24" t="s">
        <v>88</v>
      </c>
      <c r="K2" s="24" t="s">
        <v>89</v>
      </c>
      <c r="L2" s="24" t="s">
        <v>90</v>
      </c>
      <c r="M2" s="23" t="s">
        <v>91</v>
      </c>
      <c r="N2" s="25">
        <v>334015151</v>
      </c>
      <c r="O2" s="23">
        <v>8</v>
      </c>
      <c r="P2" s="24">
        <v>8</v>
      </c>
      <c r="Q2" s="24">
        <v>0</v>
      </c>
      <c r="R2" s="24" t="s">
        <v>92</v>
      </c>
      <c r="S2" s="26" t="s">
        <v>74</v>
      </c>
      <c r="T2" s="26" t="s">
        <v>75</v>
      </c>
      <c r="U2" s="26" t="s">
        <v>76</v>
      </c>
      <c r="V2" s="27" t="s">
        <v>93</v>
      </c>
      <c r="W2" s="27" t="s">
        <v>94</v>
      </c>
      <c r="X2" s="27" t="s">
        <v>95</v>
      </c>
      <c r="Y2" s="28" t="s">
        <v>96</v>
      </c>
      <c r="Z2" s="26" t="str">
        <f t="shared" ref="Z2:Z32" si="0">IF(COUNTA(V2:X2)&gt;0,"Thực hiện","Không thực hiện")</f>
        <v>Thực hiện</v>
      </c>
      <c r="AA2" s="26" t="e">
        <f t="shared" ref="AA2:AA32" ca="1" si="1">_xludf.TEXTJOIN(CHAR(10), TRUE, "Thứ: "&amp;B2, "Thời gian: "&amp;C2&amp;", ngày "&amp;D2&amp;"/"&amp;E2&amp;"/"&amp;2026, "Đơn vị: "&amp;G2, "Nội dung/Chương trình: "&amp;H2, "Báo cáo viên: "&amp;I2, "Đối tượng: "&amp;K2, "Địa điểm: "&amp;L2, "Đầu mối: "&amp;M2, "Liên hệ: "&amp;N2)</f>
        <v>#NAME?</v>
      </c>
      <c r="AB2" s="32" t="s">
        <v>97</v>
      </c>
    </row>
    <row r="3" spans="1:28" ht="15" customHeight="1" x14ac:dyDescent="0.2">
      <c r="A3" s="31">
        <v>2</v>
      </c>
      <c r="B3" s="23" t="s">
        <v>98</v>
      </c>
      <c r="C3" s="23" t="s">
        <v>99</v>
      </c>
      <c r="D3" s="23">
        <v>15</v>
      </c>
      <c r="E3" s="23">
        <v>5</v>
      </c>
      <c r="F3" s="23">
        <v>2026</v>
      </c>
      <c r="G3" s="23" t="s">
        <v>86</v>
      </c>
      <c r="H3" s="24" t="s">
        <v>100</v>
      </c>
      <c r="I3" s="24" t="s">
        <v>101</v>
      </c>
      <c r="J3" s="24" t="s">
        <v>101</v>
      </c>
      <c r="K3" s="24" t="s">
        <v>89</v>
      </c>
      <c r="L3" s="24" t="s">
        <v>90</v>
      </c>
      <c r="M3" s="23" t="s">
        <v>91</v>
      </c>
      <c r="N3" s="24">
        <v>334015151</v>
      </c>
      <c r="O3" s="23">
        <v>8</v>
      </c>
      <c r="P3" s="24">
        <v>8</v>
      </c>
      <c r="Q3" s="24">
        <v>0</v>
      </c>
      <c r="R3" s="24" t="s">
        <v>92</v>
      </c>
      <c r="S3" s="26" t="s">
        <v>74</v>
      </c>
      <c r="T3" s="26" t="s">
        <v>75</v>
      </c>
      <c r="U3" s="26" t="s">
        <v>76</v>
      </c>
      <c r="V3" s="27" t="s">
        <v>102</v>
      </c>
      <c r="W3" s="27" t="s">
        <v>103</v>
      </c>
      <c r="X3" s="27" t="s">
        <v>104</v>
      </c>
      <c r="Y3" s="28" t="s">
        <v>96</v>
      </c>
      <c r="Z3" s="26" t="str">
        <f t="shared" si="0"/>
        <v>Thực hiện</v>
      </c>
      <c r="AA3" s="26" t="e">
        <f t="shared" ca="1" si="1"/>
        <v>#NAME?</v>
      </c>
      <c r="AB3" s="32"/>
    </row>
    <row r="4" spans="1:28" ht="15" customHeight="1" x14ac:dyDescent="0.2">
      <c r="A4" s="31">
        <v>3</v>
      </c>
      <c r="B4" s="23" t="s">
        <v>98</v>
      </c>
      <c r="C4" s="23" t="s">
        <v>99</v>
      </c>
      <c r="D4" s="23">
        <v>21</v>
      </c>
      <c r="E4" s="23">
        <v>5</v>
      </c>
      <c r="F4" s="23">
        <v>2026</v>
      </c>
      <c r="G4" s="23" t="s">
        <v>86</v>
      </c>
      <c r="H4" s="24" t="s">
        <v>105</v>
      </c>
      <c r="I4" s="24" t="s">
        <v>106</v>
      </c>
      <c r="J4" s="24" t="s">
        <v>106</v>
      </c>
      <c r="K4" s="24" t="s">
        <v>89</v>
      </c>
      <c r="L4" s="24" t="s">
        <v>90</v>
      </c>
      <c r="M4" s="23" t="s">
        <v>91</v>
      </c>
      <c r="N4" s="24"/>
      <c r="O4" s="23"/>
      <c r="P4" s="24"/>
      <c r="Q4" s="24"/>
      <c r="R4" s="24"/>
      <c r="S4" s="26" t="str">
        <f t="shared" ref="S4:U4" si="2">IF(V4&gt;0,"Có","Không")</f>
        <v>Không</v>
      </c>
      <c r="T4" s="26" t="str">
        <f t="shared" si="2"/>
        <v>Không</v>
      </c>
      <c r="U4" s="26" t="str">
        <f t="shared" si="2"/>
        <v>Không</v>
      </c>
      <c r="V4" s="28"/>
      <c r="W4" s="28"/>
      <c r="X4" s="28"/>
      <c r="Y4" s="28"/>
      <c r="Z4" s="26" t="str">
        <f t="shared" si="0"/>
        <v>Không thực hiện</v>
      </c>
      <c r="AA4" s="26" t="e">
        <f t="shared" ca="1" si="1"/>
        <v>#NAME?</v>
      </c>
      <c r="AB4" s="32"/>
    </row>
    <row r="5" spans="1:28" ht="15" customHeight="1" x14ac:dyDescent="0.2">
      <c r="A5" s="31">
        <v>4</v>
      </c>
      <c r="B5" s="23" t="s">
        <v>98</v>
      </c>
      <c r="C5" s="23" t="s">
        <v>99</v>
      </c>
      <c r="D5" s="23">
        <v>28</v>
      </c>
      <c r="E5" s="23">
        <v>5</v>
      </c>
      <c r="F5" s="23">
        <v>2026</v>
      </c>
      <c r="G5" s="23" t="s">
        <v>86</v>
      </c>
      <c r="H5" s="24" t="s">
        <v>107</v>
      </c>
      <c r="I5" s="24" t="s">
        <v>108</v>
      </c>
      <c r="J5" s="24" t="s">
        <v>108</v>
      </c>
      <c r="K5" s="24" t="s">
        <v>89</v>
      </c>
      <c r="L5" s="24" t="s">
        <v>90</v>
      </c>
      <c r="M5" s="23" t="s">
        <v>91</v>
      </c>
      <c r="N5" s="24"/>
      <c r="O5" s="23"/>
      <c r="P5" s="24"/>
      <c r="Q5" s="24"/>
      <c r="R5" s="24"/>
      <c r="S5" s="26" t="str">
        <f t="shared" ref="S5:U5" si="3">IF(V5&gt;0,"Có","Không")</f>
        <v>Không</v>
      </c>
      <c r="T5" s="26" t="str">
        <f t="shared" si="3"/>
        <v>Không</v>
      </c>
      <c r="U5" s="26" t="str">
        <f t="shared" si="3"/>
        <v>Không</v>
      </c>
      <c r="V5" s="28"/>
      <c r="W5" s="28"/>
      <c r="X5" s="28"/>
      <c r="Y5" s="28"/>
      <c r="Z5" s="26" t="str">
        <f t="shared" si="0"/>
        <v>Không thực hiện</v>
      </c>
      <c r="AA5" s="26" t="e">
        <f t="shared" ca="1" si="1"/>
        <v>#NAME?</v>
      </c>
      <c r="AB5" s="32"/>
    </row>
    <row r="6" spans="1:28" ht="15" customHeight="1" x14ac:dyDescent="0.2">
      <c r="A6" s="31">
        <v>5</v>
      </c>
      <c r="B6" s="23" t="s">
        <v>98</v>
      </c>
      <c r="C6" s="23" t="s">
        <v>99</v>
      </c>
      <c r="D6" s="23">
        <v>4</v>
      </c>
      <c r="E6" s="23">
        <v>6</v>
      </c>
      <c r="F6" s="23">
        <v>2026</v>
      </c>
      <c r="G6" s="23" t="s">
        <v>86</v>
      </c>
      <c r="H6" s="24" t="s">
        <v>109</v>
      </c>
      <c r="I6" s="24" t="s">
        <v>110</v>
      </c>
      <c r="J6" s="24" t="s">
        <v>110</v>
      </c>
      <c r="K6" s="24" t="s">
        <v>89</v>
      </c>
      <c r="L6" s="24" t="s">
        <v>90</v>
      </c>
      <c r="M6" s="23" t="s">
        <v>91</v>
      </c>
      <c r="N6" s="24"/>
      <c r="O6" s="23"/>
      <c r="P6" s="24"/>
      <c r="Q6" s="24"/>
      <c r="R6" s="24"/>
      <c r="S6" s="26" t="str">
        <f t="shared" ref="S6:U6" si="4">IF(V6&gt;0,"Có","Không")</f>
        <v>Không</v>
      </c>
      <c r="T6" s="26" t="str">
        <f t="shared" si="4"/>
        <v>Không</v>
      </c>
      <c r="U6" s="26" t="str">
        <f t="shared" si="4"/>
        <v>Không</v>
      </c>
      <c r="V6" s="28"/>
      <c r="W6" s="28"/>
      <c r="X6" s="28"/>
      <c r="Y6" s="28"/>
      <c r="Z6" s="26" t="str">
        <f t="shared" si="0"/>
        <v>Không thực hiện</v>
      </c>
      <c r="AA6" s="26" t="e">
        <f t="shared" ca="1" si="1"/>
        <v>#NAME?</v>
      </c>
      <c r="AB6" s="32"/>
    </row>
    <row r="7" spans="1:28" ht="15" customHeight="1" x14ac:dyDescent="0.2">
      <c r="A7" s="31">
        <v>6</v>
      </c>
      <c r="B7" s="23" t="s">
        <v>98</v>
      </c>
      <c r="C7" s="23" t="s">
        <v>99</v>
      </c>
      <c r="D7" s="23">
        <v>11</v>
      </c>
      <c r="E7" s="23">
        <v>6</v>
      </c>
      <c r="F7" s="23">
        <v>2026</v>
      </c>
      <c r="G7" s="23" t="s">
        <v>86</v>
      </c>
      <c r="H7" s="24" t="s">
        <v>111</v>
      </c>
      <c r="I7" s="24" t="s">
        <v>91</v>
      </c>
      <c r="J7" s="24" t="s">
        <v>91</v>
      </c>
      <c r="K7" s="24" t="s">
        <v>89</v>
      </c>
      <c r="L7" s="24" t="s">
        <v>90</v>
      </c>
      <c r="M7" s="23" t="s">
        <v>91</v>
      </c>
      <c r="N7" s="24"/>
      <c r="O7" s="23"/>
      <c r="P7" s="24"/>
      <c r="Q7" s="24"/>
      <c r="R7" s="24"/>
      <c r="S7" s="26" t="str">
        <f t="shared" ref="S7:U7" si="5">IF(V7&gt;0,"Có","Không")</f>
        <v>Không</v>
      </c>
      <c r="T7" s="26" t="str">
        <f t="shared" si="5"/>
        <v>Không</v>
      </c>
      <c r="U7" s="26" t="str">
        <f t="shared" si="5"/>
        <v>Không</v>
      </c>
      <c r="V7" s="28"/>
      <c r="W7" s="28"/>
      <c r="X7" s="28"/>
      <c r="Y7" s="28"/>
      <c r="Z7" s="26" t="str">
        <f t="shared" si="0"/>
        <v>Không thực hiện</v>
      </c>
      <c r="AA7" s="26" t="e">
        <f t="shared" ca="1" si="1"/>
        <v>#NAME?</v>
      </c>
      <c r="AB7" s="32"/>
    </row>
    <row r="8" spans="1:28" ht="15" customHeight="1" x14ac:dyDescent="0.2">
      <c r="A8" s="31">
        <v>7</v>
      </c>
      <c r="B8" s="23" t="s">
        <v>98</v>
      </c>
      <c r="C8" s="23" t="s">
        <v>99</v>
      </c>
      <c r="D8" s="23">
        <v>18</v>
      </c>
      <c r="E8" s="23">
        <v>6</v>
      </c>
      <c r="F8" s="23">
        <v>2026</v>
      </c>
      <c r="G8" s="23" t="s">
        <v>86</v>
      </c>
      <c r="H8" s="24" t="s">
        <v>112</v>
      </c>
      <c r="I8" s="24" t="s">
        <v>113</v>
      </c>
      <c r="J8" s="24" t="s">
        <v>113</v>
      </c>
      <c r="K8" s="24" t="s">
        <v>89</v>
      </c>
      <c r="L8" s="24" t="s">
        <v>90</v>
      </c>
      <c r="M8" s="23" t="s">
        <v>91</v>
      </c>
      <c r="N8" s="24"/>
      <c r="O8" s="23"/>
      <c r="P8" s="24"/>
      <c r="Q8" s="24"/>
      <c r="R8" s="24"/>
      <c r="S8" s="26" t="str">
        <f t="shared" ref="S8:U8" si="6">IF(V8&gt;0,"Có","Không")</f>
        <v>Không</v>
      </c>
      <c r="T8" s="26" t="str">
        <f t="shared" si="6"/>
        <v>Không</v>
      </c>
      <c r="U8" s="26" t="str">
        <f t="shared" si="6"/>
        <v>Không</v>
      </c>
      <c r="V8" s="28"/>
      <c r="W8" s="28"/>
      <c r="X8" s="28"/>
      <c r="Y8" s="28"/>
      <c r="Z8" s="26" t="str">
        <f t="shared" si="0"/>
        <v>Không thực hiện</v>
      </c>
      <c r="AA8" s="26" t="e">
        <f t="shared" ca="1" si="1"/>
        <v>#NAME?</v>
      </c>
      <c r="AB8" s="32"/>
    </row>
    <row r="9" spans="1:28" ht="15" customHeight="1" x14ac:dyDescent="0.2">
      <c r="A9" s="31">
        <v>8</v>
      </c>
      <c r="B9" s="23" t="s">
        <v>98</v>
      </c>
      <c r="C9" s="23" t="s">
        <v>99</v>
      </c>
      <c r="D9" s="23">
        <v>25</v>
      </c>
      <c r="E9" s="23">
        <v>6</v>
      </c>
      <c r="F9" s="23">
        <v>2026</v>
      </c>
      <c r="G9" s="23" t="s">
        <v>86</v>
      </c>
      <c r="H9" s="24" t="s">
        <v>114</v>
      </c>
      <c r="I9" s="24" t="s">
        <v>115</v>
      </c>
      <c r="J9" s="24" t="s">
        <v>115</v>
      </c>
      <c r="K9" s="24" t="s">
        <v>89</v>
      </c>
      <c r="L9" s="24" t="s">
        <v>90</v>
      </c>
      <c r="M9" s="23" t="s">
        <v>91</v>
      </c>
      <c r="N9" s="24"/>
      <c r="O9" s="23"/>
      <c r="P9" s="24"/>
      <c r="Q9" s="24"/>
      <c r="R9" s="24"/>
      <c r="S9" s="26" t="str">
        <f t="shared" ref="S9:U9" si="7">IF(V9&gt;0,"Có","Không")</f>
        <v>Không</v>
      </c>
      <c r="T9" s="26" t="str">
        <f t="shared" si="7"/>
        <v>Không</v>
      </c>
      <c r="U9" s="26" t="str">
        <f t="shared" si="7"/>
        <v>Không</v>
      </c>
      <c r="V9" s="28"/>
      <c r="W9" s="28"/>
      <c r="X9" s="28"/>
      <c r="Y9" s="28"/>
      <c r="Z9" s="26" t="str">
        <f t="shared" si="0"/>
        <v>Không thực hiện</v>
      </c>
      <c r="AA9" s="26" t="e">
        <f t="shared" ca="1" si="1"/>
        <v>#NAME?</v>
      </c>
      <c r="AB9" s="32"/>
    </row>
    <row r="10" spans="1:28" ht="15" customHeight="1" x14ac:dyDescent="0.2">
      <c r="A10" s="31">
        <v>9</v>
      </c>
      <c r="B10" s="23" t="s">
        <v>98</v>
      </c>
      <c r="C10" s="23" t="s">
        <v>99</v>
      </c>
      <c r="D10" s="23">
        <v>30</v>
      </c>
      <c r="E10" s="23">
        <v>6</v>
      </c>
      <c r="F10" s="23">
        <v>2026</v>
      </c>
      <c r="G10" s="23" t="s">
        <v>86</v>
      </c>
      <c r="H10" s="24" t="s">
        <v>116</v>
      </c>
      <c r="I10" s="24" t="s">
        <v>117</v>
      </c>
      <c r="J10" s="24" t="s">
        <v>117</v>
      </c>
      <c r="K10" s="24" t="s">
        <v>89</v>
      </c>
      <c r="L10" s="24" t="s">
        <v>90</v>
      </c>
      <c r="M10" s="23" t="s">
        <v>91</v>
      </c>
      <c r="N10" s="24"/>
      <c r="O10" s="23"/>
      <c r="P10" s="24"/>
      <c r="Q10" s="24"/>
      <c r="R10" s="24"/>
      <c r="S10" s="26" t="str">
        <f t="shared" ref="S10:U10" si="8">IF(V10&gt;0,"Có","Không")</f>
        <v>Không</v>
      </c>
      <c r="T10" s="26" t="str">
        <f t="shared" si="8"/>
        <v>Không</v>
      </c>
      <c r="U10" s="26" t="str">
        <f t="shared" si="8"/>
        <v>Không</v>
      </c>
      <c r="V10" s="28"/>
      <c r="W10" s="28"/>
      <c r="X10" s="28"/>
      <c r="Y10" s="28"/>
      <c r="Z10" s="26" t="str">
        <f t="shared" si="0"/>
        <v>Không thực hiện</v>
      </c>
      <c r="AA10" s="26" t="e">
        <f t="shared" ca="1" si="1"/>
        <v>#NAME?</v>
      </c>
      <c r="AB10" s="32"/>
    </row>
    <row r="11" spans="1:28" ht="15" customHeight="1" x14ac:dyDescent="0.2">
      <c r="A11" s="31">
        <v>10</v>
      </c>
      <c r="B11" s="23" t="s">
        <v>118</v>
      </c>
      <c r="C11" s="23" t="s">
        <v>99</v>
      </c>
      <c r="D11" s="23">
        <v>6</v>
      </c>
      <c r="E11" s="23">
        <v>7</v>
      </c>
      <c r="F11" s="23">
        <v>2026</v>
      </c>
      <c r="G11" s="23" t="s">
        <v>86</v>
      </c>
      <c r="H11" s="23" t="s">
        <v>119</v>
      </c>
      <c r="I11" s="23" t="s">
        <v>113</v>
      </c>
      <c r="J11" s="23" t="s">
        <v>113</v>
      </c>
      <c r="K11" s="23" t="s">
        <v>120</v>
      </c>
      <c r="L11" s="23" t="s">
        <v>90</v>
      </c>
      <c r="M11" s="23" t="s">
        <v>91</v>
      </c>
      <c r="N11" s="24"/>
      <c r="O11" s="23"/>
      <c r="P11" s="24"/>
      <c r="Q11" s="24"/>
      <c r="R11" s="24"/>
      <c r="S11" s="26" t="str">
        <f t="shared" ref="S11:U11" si="9">IF(V11&gt;0,"Có","Không")</f>
        <v>Không</v>
      </c>
      <c r="T11" s="26" t="str">
        <f t="shared" si="9"/>
        <v>Không</v>
      </c>
      <c r="U11" s="26" t="str">
        <f t="shared" si="9"/>
        <v>Không</v>
      </c>
      <c r="V11" s="28"/>
      <c r="W11" s="28"/>
      <c r="X11" s="28"/>
      <c r="Y11" s="28"/>
      <c r="Z11" s="26" t="str">
        <f t="shared" si="0"/>
        <v>Không thực hiện</v>
      </c>
      <c r="AA11" s="26" t="e">
        <f t="shared" ca="1" si="1"/>
        <v>#NAME?</v>
      </c>
      <c r="AB11" s="32"/>
    </row>
    <row r="12" spans="1:28" ht="15" customHeight="1" x14ac:dyDescent="0.2">
      <c r="A12" s="31">
        <v>11</v>
      </c>
      <c r="B12" s="23" t="s">
        <v>118</v>
      </c>
      <c r="C12" s="23" t="s">
        <v>99</v>
      </c>
      <c r="D12" s="23">
        <v>13</v>
      </c>
      <c r="E12" s="23">
        <v>7</v>
      </c>
      <c r="F12" s="23">
        <v>2026</v>
      </c>
      <c r="G12" s="23" t="s">
        <v>86</v>
      </c>
      <c r="H12" s="23" t="s">
        <v>121</v>
      </c>
      <c r="I12" s="23" t="s">
        <v>115</v>
      </c>
      <c r="J12" s="23" t="s">
        <v>115</v>
      </c>
      <c r="K12" s="23" t="s">
        <v>120</v>
      </c>
      <c r="L12" s="23" t="s">
        <v>90</v>
      </c>
      <c r="M12" s="23" t="s">
        <v>91</v>
      </c>
      <c r="N12" s="29" t="s">
        <v>122</v>
      </c>
      <c r="O12" s="23"/>
      <c r="P12" s="24"/>
      <c r="Q12" s="24"/>
      <c r="R12" s="24"/>
      <c r="S12" s="26" t="str">
        <f t="shared" ref="S12:U12" si="10">IF(V12&gt;0,"Có","Không")</f>
        <v>Không</v>
      </c>
      <c r="T12" s="26" t="str">
        <f t="shared" si="10"/>
        <v>Không</v>
      </c>
      <c r="U12" s="26" t="str">
        <f t="shared" si="10"/>
        <v>Không</v>
      </c>
      <c r="V12" s="28"/>
      <c r="W12" s="28"/>
      <c r="X12" s="28"/>
      <c r="Y12" s="28"/>
      <c r="Z12" s="26" t="str">
        <f t="shared" si="0"/>
        <v>Không thực hiện</v>
      </c>
      <c r="AA12" s="26" t="e">
        <f t="shared" ca="1" si="1"/>
        <v>#NAME?</v>
      </c>
      <c r="AB12" s="32"/>
    </row>
    <row r="13" spans="1:28" ht="15" customHeight="1" x14ac:dyDescent="0.2">
      <c r="A13" s="31">
        <v>12</v>
      </c>
      <c r="B13" s="23" t="s">
        <v>118</v>
      </c>
      <c r="C13" s="23" t="s">
        <v>99</v>
      </c>
      <c r="D13" s="23">
        <v>20</v>
      </c>
      <c r="E13" s="23">
        <v>7</v>
      </c>
      <c r="F13" s="23">
        <v>2026</v>
      </c>
      <c r="G13" s="23" t="s">
        <v>86</v>
      </c>
      <c r="H13" s="23" t="s">
        <v>123</v>
      </c>
      <c r="I13" s="23" t="s">
        <v>117</v>
      </c>
      <c r="J13" s="23" t="s">
        <v>117</v>
      </c>
      <c r="K13" s="23" t="s">
        <v>120</v>
      </c>
      <c r="L13" s="23" t="s">
        <v>90</v>
      </c>
      <c r="M13" s="23" t="s">
        <v>91</v>
      </c>
      <c r="N13" s="24"/>
      <c r="O13" s="23"/>
      <c r="P13" s="24"/>
      <c r="Q13" s="24"/>
      <c r="R13" s="24"/>
      <c r="S13" s="26" t="str">
        <f t="shared" ref="S13:U13" si="11">IF(V13&gt;0,"Có","Không")</f>
        <v>Không</v>
      </c>
      <c r="T13" s="26" t="str">
        <f t="shared" si="11"/>
        <v>Không</v>
      </c>
      <c r="U13" s="26" t="str">
        <f t="shared" si="11"/>
        <v>Không</v>
      </c>
      <c r="V13" s="28"/>
      <c r="W13" s="28"/>
      <c r="X13" s="28"/>
      <c r="Y13" s="28"/>
      <c r="Z13" s="26" t="str">
        <f t="shared" si="0"/>
        <v>Không thực hiện</v>
      </c>
      <c r="AA13" s="26" t="e">
        <f t="shared" ca="1" si="1"/>
        <v>#NAME?</v>
      </c>
      <c r="AB13" s="32"/>
    </row>
    <row r="14" spans="1:28" ht="15" customHeight="1" x14ac:dyDescent="0.2">
      <c r="A14" s="31">
        <v>13</v>
      </c>
      <c r="B14" s="23" t="s">
        <v>118</v>
      </c>
      <c r="C14" s="23" t="s">
        <v>99</v>
      </c>
      <c r="D14" s="23">
        <v>27</v>
      </c>
      <c r="E14" s="23">
        <v>7</v>
      </c>
      <c r="F14" s="23">
        <v>2026</v>
      </c>
      <c r="G14" s="23" t="s">
        <v>86</v>
      </c>
      <c r="H14" s="23" t="s">
        <v>124</v>
      </c>
      <c r="I14" s="23" t="s">
        <v>125</v>
      </c>
      <c r="J14" s="23" t="s">
        <v>125</v>
      </c>
      <c r="K14" s="23" t="s">
        <v>120</v>
      </c>
      <c r="L14" s="23" t="s">
        <v>90</v>
      </c>
      <c r="M14" s="23" t="s">
        <v>91</v>
      </c>
      <c r="N14" s="24"/>
      <c r="O14" s="23"/>
      <c r="P14" s="24"/>
      <c r="Q14" s="24"/>
      <c r="R14" s="24"/>
      <c r="S14" s="26" t="str">
        <f t="shared" ref="S14:U14" si="12">IF(V14&gt;0,"Có","Không")</f>
        <v>Không</v>
      </c>
      <c r="T14" s="26" t="str">
        <f t="shared" si="12"/>
        <v>Không</v>
      </c>
      <c r="U14" s="26" t="str">
        <f t="shared" si="12"/>
        <v>Không</v>
      </c>
      <c r="V14" s="28"/>
      <c r="W14" s="28"/>
      <c r="X14" s="28"/>
      <c r="Y14" s="28"/>
      <c r="Z14" s="26" t="str">
        <f t="shared" si="0"/>
        <v>Không thực hiện</v>
      </c>
      <c r="AA14" s="26" t="e">
        <f t="shared" ca="1" si="1"/>
        <v>#NAME?</v>
      </c>
      <c r="AB14" s="32"/>
    </row>
    <row r="15" spans="1:28" ht="15" customHeight="1" x14ac:dyDescent="0.2">
      <c r="A15" s="31">
        <v>14</v>
      </c>
      <c r="B15" s="23" t="s">
        <v>118</v>
      </c>
      <c r="C15" s="23" t="s">
        <v>99</v>
      </c>
      <c r="D15" s="23">
        <v>3</v>
      </c>
      <c r="E15" s="23">
        <v>8</v>
      </c>
      <c r="F15" s="23">
        <v>2026</v>
      </c>
      <c r="G15" s="23" t="s">
        <v>86</v>
      </c>
      <c r="H15" s="23" t="s">
        <v>126</v>
      </c>
      <c r="I15" s="23" t="s">
        <v>110</v>
      </c>
      <c r="J15" s="23" t="s">
        <v>110</v>
      </c>
      <c r="K15" s="23" t="s">
        <v>120</v>
      </c>
      <c r="L15" s="23" t="s">
        <v>90</v>
      </c>
      <c r="M15" s="23" t="s">
        <v>91</v>
      </c>
      <c r="N15" s="29" t="s">
        <v>122</v>
      </c>
      <c r="O15" s="23"/>
      <c r="P15" s="24"/>
      <c r="Q15" s="24"/>
      <c r="R15" s="24"/>
      <c r="S15" s="26" t="str">
        <f t="shared" ref="S15:U15" si="13">IF(V15&gt;0,"Có","Không")</f>
        <v>Không</v>
      </c>
      <c r="T15" s="26" t="str">
        <f t="shared" si="13"/>
        <v>Không</v>
      </c>
      <c r="U15" s="26" t="str">
        <f t="shared" si="13"/>
        <v>Không</v>
      </c>
      <c r="V15" s="28"/>
      <c r="W15" s="28"/>
      <c r="X15" s="28"/>
      <c r="Y15" s="28"/>
      <c r="Z15" s="26" t="str">
        <f t="shared" si="0"/>
        <v>Không thực hiện</v>
      </c>
      <c r="AA15" s="26" t="e">
        <f t="shared" ca="1" si="1"/>
        <v>#NAME?</v>
      </c>
      <c r="AB15" s="32"/>
    </row>
    <row r="16" spans="1:28" ht="15" customHeight="1" x14ac:dyDescent="0.2">
      <c r="A16" s="31">
        <v>15</v>
      </c>
      <c r="B16" s="23" t="s">
        <v>118</v>
      </c>
      <c r="C16" s="23" t="s">
        <v>99</v>
      </c>
      <c r="D16" s="23">
        <v>10</v>
      </c>
      <c r="E16" s="23">
        <v>8</v>
      </c>
      <c r="F16" s="23">
        <v>2026</v>
      </c>
      <c r="G16" s="23" t="s">
        <v>86</v>
      </c>
      <c r="H16" s="23" t="s">
        <v>127</v>
      </c>
      <c r="I16" s="23" t="s">
        <v>106</v>
      </c>
      <c r="J16" s="23" t="s">
        <v>106</v>
      </c>
      <c r="K16" s="23" t="s">
        <v>120</v>
      </c>
      <c r="L16" s="23" t="s">
        <v>90</v>
      </c>
      <c r="M16" s="23" t="s">
        <v>91</v>
      </c>
      <c r="N16" s="29" t="s">
        <v>128</v>
      </c>
      <c r="O16" s="23"/>
      <c r="P16" s="24"/>
      <c r="Q16" s="24"/>
      <c r="R16" s="24"/>
      <c r="S16" s="26" t="str">
        <f t="shared" ref="S16:U16" si="14">IF(V16&gt;0,"Có","Không")</f>
        <v>Không</v>
      </c>
      <c r="T16" s="26" t="str">
        <f t="shared" si="14"/>
        <v>Không</v>
      </c>
      <c r="U16" s="26" t="str">
        <f t="shared" si="14"/>
        <v>Không</v>
      </c>
      <c r="V16" s="28"/>
      <c r="W16" s="28"/>
      <c r="X16" s="28"/>
      <c r="Y16" s="28"/>
      <c r="Z16" s="26" t="str">
        <f t="shared" si="0"/>
        <v>Không thực hiện</v>
      </c>
      <c r="AA16" s="26" t="e">
        <f t="shared" ca="1" si="1"/>
        <v>#NAME?</v>
      </c>
      <c r="AB16" s="32"/>
    </row>
    <row r="17" spans="1:28" ht="15" customHeight="1" x14ac:dyDescent="0.2">
      <c r="A17" s="31">
        <v>16</v>
      </c>
      <c r="B17" s="23" t="s">
        <v>118</v>
      </c>
      <c r="C17" s="23" t="s">
        <v>99</v>
      </c>
      <c r="D17" s="23">
        <v>17</v>
      </c>
      <c r="E17" s="23">
        <v>8</v>
      </c>
      <c r="F17" s="23">
        <v>2026</v>
      </c>
      <c r="G17" s="23" t="s">
        <v>86</v>
      </c>
      <c r="H17" s="23" t="s">
        <v>129</v>
      </c>
      <c r="I17" s="23" t="s">
        <v>91</v>
      </c>
      <c r="J17" s="23" t="s">
        <v>91</v>
      </c>
      <c r="K17" s="23" t="s">
        <v>120</v>
      </c>
      <c r="L17" s="23" t="s">
        <v>90</v>
      </c>
      <c r="M17" s="23" t="s">
        <v>91</v>
      </c>
      <c r="N17" s="29" t="s">
        <v>130</v>
      </c>
      <c r="O17" s="23"/>
      <c r="P17" s="24"/>
      <c r="Q17" s="24"/>
      <c r="R17" s="24"/>
      <c r="S17" s="26" t="str">
        <f t="shared" ref="S17:U17" si="15">IF(V17&gt;0,"Có","Không")</f>
        <v>Không</v>
      </c>
      <c r="T17" s="26" t="str">
        <f t="shared" si="15"/>
        <v>Không</v>
      </c>
      <c r="U17" s="26" t="str">
        <f t="shared" si="15"/>
        <v>Không</v>
      </c>
      <c r="V17" s="28"/>
      <c r="W17" s="28"/>
      <c r="X17" s="28"/>
      <c r="Y17" s="28"/>
      <c r="Z17" s="26" t="str">
        <f t="shared" si="0"/>
        <v>Không thực hiện</v>
      </c>
      <c r="AA17" s="26" t="e">
        <f t="shared" ca="1" si="1"/>
        <v>#NAME?</v>
      </c>
      <c r="AB17" s="32"/>
    </row>
    <row r="18" spans="1:28" ht="15" customHeight="1" x14ac:dyDescent="0.2">
      <c r="A18" s="31">
        <v>17</v>
      </c>
      <c r="B18" s="23" t="s">
        <v>118</v>
      </c>
      <c r="C18" s="23" t="s">
        <v>99</v>
      </c>
      <c r="D18" s="23">
        <v>24</v>
      </c>
      <c r="E18" s="23">
        <v>8</v>
      </c>
      <c r="F18" s="23">
        <v>2026</v>
      </c>
      <c r="G18" s="23" t="s">
        <v>86</v>
      </c>
      <c r="H18" s="23" t="s">
        <v>131</v>
      </c>
      <c r="I18" s="23" t="s">
        <v>88</v>
      </c>
      <c r="J18" s="23" t="s">
        <v>88</v>
      </c>
      <c r="K18" s="23" t="s">
        <v>120</v>
      </c>
      <c r="L18" s="23" t="s">
        <v>90</v>
      </c>
      <c r="M18" s="23" t="s">
        <v>91</v>
      </c>
      <c r="N18" s="29" t="s">
        <v>132</v>
      </c>
      <c r="O18" s="23"/>
      <c r="P18" s="24"/>
      <c r="Q18" s="24"/>
      <c r="R18" s="24"/>
      <c r="S18" s="26" t="str">
        <f t="shared" ref="S18:U18" si="16">IF(V18&gt;0,"Có","Không")</f>
        <v>Không</v>
      </c>
      <c r="T18" s="26" t="str">
        <f t="shared" si="16"/>
        <v>Không</v>
      </c>
      <c r="U18" s="26" t="str">
        <f t="shared" si="16"/>
        <v>Không</v>
      </c>
      <c r="V18" s="28"/>
      <c r="W18" s="28"/>
      <c r="X18" s="28"/>
      <c r="Y18" s="28"/>
      <c r="Z18" s="26" t="str">
        <f t="shared" si="0"/>
        <v>Không thực hiện</v>
      </c>
      <c r="AA18" s="26" t="e">
        <f t="shared" ca="1" si="1"/>
        <v>#NAME?</v>
      </c>
      <c r="AB18" s="32"/>
    </row>
    <row r="19" spans="1:28" ht="15" customHeight="1" x14ac:dyDescent="0.2">
      <c r="A19" s="31">
        <v>18</v>
      </c>
      <c r="B19" s="23" t="s">
        <v>118</v>
      </c>
      <c r="C19" s="23" t="s">
        <v>99</v>
      </c>
      <c r="D19" s="23">
        <v>7</v>
      </c>
      <c r="E19" s="23">
        <v>9</v>
      </c>
      <c r="F19" s="23">
        <v>2026</v>
      </c>
      <c r="G19" s="23" t="s">
        <v>86</v>
      </c>
      <c r="H19" s="23" t="s">
        <v>133</v>
      </c>
      <c r="I19" s="23" t="s">
        <v>134</v>
      </c>
      <c r="J19" s="23" t="s">
        <v>134</v>
      </c>
      <c r="K19" s="23" t="s">
        <v>120</v>
      </c>
      <c r="L19" s="23" t="s">
        <v>90</v>
      </c>
      <c r="M19" s="23" t="s">
        <v>91</v>
      </c>
      <c r="N19" s="29" t="s">
        <v>135</v>
      </c>
      <c r="O19" s="23"/>
      <c r="P19" s="24"/>
      <c r="Q19" s="24"/>
      <c r="R19" s="24"/>
      <c r="S19" s="26" t="str">
        <f t="shared" ref="S19:U19" si="17">IF(V19&gt;0,"Có","Không")</f>
        <v>Không</v>
      </c>
      <c r="T19" s="26" t="str">
        <f t="shared" si="17"/>
        <v>Không</v>
      </c>
      <c r="U19" s="26" t="str">
        <f t="shared" si="17"/>
        <v>Không</v>
      </c>
      <c r="V19" s="28"/>
      <c r="W19" s="28"/>
      <c r="X19" s="28"/>
      <c r="Y19" s="28"/>
      <c r="Z19" s="26" t="str">
        <f t="shared" si="0"/>
        <v>Không thực hiện</v>
      </c>
      <c r="AA19" s="26" t="e">
        <f t="shared" ca="1" si="1"/>
        <v>#NAME?</v>
      </c>
      <c r="AB19" s="32"/>
    </row>
    <row r="20" spans="1:28" ht="15" customHeight="1" x14ac:dyDescent="0.2">
      <c r="A20" s="31">
        <v>19</v>
      </c>
      <c r="B20" s="23" t="s">
        <v>118</v>
      </c>
      <c r="C20" s="23" t="s">
        <v>99</v>
      </c>
      <c r="D20" s="23">
        <v>14</v>
      </c>
      <c r="E20" s="23">
        <v>9</v>
      </c>
      <c r="F20" s="23">
        <v>2026</v>
      </c>
      <c r="G20" s="23" t="s">
        <v>86</v>
      </c>
      <c r="H20" s="23" t="s">
        <v>136</v>
      </c>
      <c r="I20" s="23" t="s">
        <v>108</v>
      </c>
      <c r="J20" s="23" t="s">
        <v>108</v>
      </c>
      <c r="K20" s="23" t="s">
        <v>120</v>
      </c>
      <c r="L20" s="23" t="s">
        <v>90</v>
      </c>
      <c r="M20" s="23" t="s">
        <v>91</v>
      </c>
      <c r="N20" s="29" t="s">
        <v>137</v>
      </c>
      <c r="O20" s="23"/>
      <c r="P20" s="24"/>
      <c r="Q20" s="24"/>
      <c r="R20" s="24"/>
      <c r="S20" s="26" t="str">
        <f t="shared" ref="S20:U20" si="18">IF(V20&gt;0,"Có","Không")</f>
        <v>Không</v>
      </c>
      <c r="T20" s="26" t="str">
        <f t="shared" si="18"/>
        <v>Không</v>
      </c>
      <c r="U20" s="26" t="str">
        <f t="shared" si="18"/>
        <v>Không</v>
      </c>
      <c r="V20" s="28"/>
      <c r="W20" s="28"/>
      <c r="X20" s="28"/>
      <c r="Y20" s="28"/>
      <c r="Z20" s="26" t="str">
        <f t="shared" si="0"/>
        <v>Không thực hiện</v>
      </c>
      <c r="AA20" s="26" t="e">
        <f t="shared" ca="1" si="1"/>
        <v>#NAME?</v>
      </c>
      <c r="AB20" s="32"/>
    </row>
    <row r="21" spans="1:28" ht="15" customHeight="1" x14ac:dyDescent="0.2">
      <c r="A21" s="31">
        <v>20</v>
      </c>
      <c r="B21" s="23" t="s">
        <v>118</v>
      </c>
      <c r="C21" s="23" t="s">
        <v>99</v>
      </c>
      <c r="D21" s="23">
        <v>21</v>
      </c>
      <c r="E21" s="23">
        <v>9</v>
      </c>
      <c r="F21" s="23">
        <v>2026</v>
      </c>
      <c r="G21" s="23" t="s">
        <v>86</v>
      </c>
      <c r="H21" s="23" t="s">
        <v>138</v>
      </c>
      <c r="I21" s="23" t="s">
        <v>113</v>
      </c>
      <c r="J21" s="23" t="s">
        <v>113</v>
      </c>
      <c r="K21" s="23" t="s">
        <v>120</v>
      </c>
      <c r="L21" s="23" t="s">
        <v>90</v>
      </c>
      <c r="M21" s="23" t="s">
        <v>91</v>
      </c>
      <c r="N21" s="29" t="s">
        <v>139</v>
      </c>
      <c r="O21" s="23"/>
      <c r="P21" s="24"/>
      <c r="Q21" s="24"/>
      <c r="R21" s="24"/>
      <c r="S21" s="26" t="str">
        <f t="shared" ref="S21:U21" si="19">IF(V21&gt;0,"Có","Không")</f>
        <v>Không</v>
      </c>
      <c r="T21" s="26" t="str">
        <f t="shared" si="19"/>
        <v>Không</v>
      </c>
      <c r="U21" s="26" t="str">
        <f t="shared" si="19"/>
        <v>Không</v>
      </c>
      <c r="V21" s="28"/>
      <c r="W21" s="28"/>
      <c r="X21" s="28"/>
      <c r="Y21" s="28"/>
      <c r="Z21" s="26" t="str">
        <f t="shared" si="0"/>
        <v>Không thực hiện</v>
      </c>
      <c r="AA21" s="26" t="e">
        <f t="shared" ca="1" si="1"/>
        <v>#NAME?</v>
      </c>
      <c r="AB21" s="32"/>
    </row>
    <row r="22" spans="1:28" ht="15" customHeight="1" x14ac:dyDescent="0.2">
      <c r="A22" s="31">
        <v>21</v>
      </c>
      <c r="B22" s="23" t="s">
        <v>118</v>
      </c>
      <c r="C22" s="23" t="s">
        <v>99</v>
      </c>
      <c r="D22" s="23">
        <v>28</v>
      </c>
      <c r="E22" s="23">
        <v>10</v>
      </c>
      <c r="F22" s="23">
        <v>2026</v>
      </c>
      <c r="G22" s="23" t="s">
        <v>86</v>
      </c>
      <c r="H22" s="23" t="s">
        <v>140</v>
      </c>
      <c r="I22" s="23" t="s">
        <v>115</v>
      </c>
      <c r="J22" s="23" t="s">
        <v>115</v>
      </c>
      <c r="K22" s="23" t="s">
        <v>120</v>
      </c>
      <c r="L22" s="23" t="s">
        <v>90</v>
      </c>
      <c r="M22" s="23" t="s">
        <v>91</v>
      </c>
      <c r="N22" s="24"/>
      <c r="O22" s="23"/>
      <c r="P22" s="24"/>
      <c r="Q22" s="24"/>
      <c r="R22" s="24"/>
      <c r="S22" s="26" t="str">
        <f t="shared" ref="S22:U22" si="20">IF(V22&gt;0,"Có","Không")</f>
        <v>Không</v>
      </c>
      <c r="T22" s="26" t="str">
        <f t="shared" si="20"/>
        <v>Không</v>
      </c>
      <c r="U22" s="26" t="str">
        <f t="shared" si="20"/>
        <v>Không</v>
      </c>
      <c r="V22" s="28"/>
      <c r="W22" s="28"/>
      <c r="X22" s="28"/>
      <c r="Y22" s="28"/>
      <c r="Z22" s="26" t="str">
        <f t="shared" si="0"/>
        <v>Không thực hiện</v>
      </c>
      <c r="AA22" s="26" t="e">
        <f t="shared" ca="1" si="1"/>
        <v>#NAME?</v>
      </c>
      <c r="AB22" s="32"/>
    </row>
    <row r="23" spans="1:28" ht="15" customHeight="1" x14ac:dyDescent="0.2">
      <c r="A23" s="31">
        <v>22</v>
      </c>
      <c r="B23" s="23" t="s">
        <v>118</v>
      </c>
      <c r="C23" s="23" t="s">
        <v>99</v>
      </c>
      <c r="D23" s="23">
        <v>5</v>
      </c>
      <c r="E23" s="23">
        <v>10</v>
      </c>
      <c r="F23" s="23">
        <v>2026</v>
      </c>
      <c r="G23" s="23" t="s">
        <v>86</v>
      </c>
      <c r="H23" s="23" t="s">
        <v>141</v>
      </c>
      <c r="I23" s="23" t="s">
        <v>117</v>
      </c>
      <c r="J23" s="23" t="s">
        <v>117</v>
      </c>
      <c r="K23" s="23" t="s">
        <v>120</v>
      </c>
      <c r="L23" s="23" t="s">
        <v>90</v>
      </c>
      <c r="M23" s="23" t="s">
        <v>91</v>
      </c>
      <c r="N23" s="24"/>
      <c r="O23" s="23"/>
      <c r="P23" s="24"/>
      <c r="Q23" s="24"/>
      <c r="R23" s="24"/>
      <c r="S23" s="26" t="str">
        <f t="shared" ref="S23:U23" si="21">IF(V23&gt;0,"Có","Không")</f>
        <v>Không</v>
      </c>
      <c r="T23" s="26" t="str">
        <f t="shared" si="21"/>
        <v>Không</v>
      </c>
      <c r="U23" s="26" t="str">
        <f t="shared" si="21"/>
        <v>Không</v>
      </c>
      <c r="V23" s="28"/>
      <c r="W23" s="28"/>
      <c r="X23" s="28"/>
      <c r="Y23" s="28"/>
      <c r="Z23" s="26" t="str">
        <f t="shared" si="0"/>
        <v>Không thực hiện</v>
      </c>
      <c r="AA23" s="26" t="e">
        <f t="shared" ca="1" si="1"/>
        <v>#NAME?</v>
      </c>
      <c r="AB23" s="32"/>
    </row>
    <row r="24" spans="1:28" ht="15" customHeight="1" x14ac:dyDescent="0.2">
      <c r="A24" s="31">
        <v>23</v>
      </c>
      <c r="B24" s="23" t="s">
        <v>118</v>
      </c>
      <c r="C24" s="23" t="s">
        <v>99</v>
      </c>
      <c r="D24" s="23">
        <v>12</v>
      </c>
      <c r="E24" s="23">
        <v>10</v>
      </c>
      <c r="F24" s="23">
        <v>2026</v>
      </c>
      <c r="G24" s="23" t="s">
        <v>86</v>
      </c>
      <c r="H24" s="23" t="s">
        <v>142</v>
      </c>
      <c r="I24" s="23" t="s">
        <v>125</v>
      </c>
      <c r="J24" s="23" t="s">
        <v>125</v>
      </c>
      <c r="K24" s="23" t="s">
        <v>120</v>
      </c>
      <c r="L24" s="23" t="s">
        <v>90</v>
      </c>
      <c r="M24" s="23" t="s">
        <v>91</v>
      </c>
      <c r="N24" s="24"/>
      <c r="O24" s="23"/>
      <c r="P24" s="24"/>
      <c r="Q24" s="24"/>
      <c r="R24" s="24"/>
      <c r="S24" s="26" t="str">
        <f t="shared" ref="S24:U24" si="22">IF(V24&gt;0,"Có","Không")</f>
        <v>Không</v>
      </c>
      <c r="T24" s="26" t="str">
        <f t="shared" si="22"/>
        <v>Không</v>
      </c>
      <c r="U24" s="26" t="str">
        <f t="shared" si="22"/>
        <v>Không</v>
      </c>
      <c r="V24" s="28"/>
      <c r="W24" s="28"/>
      <c r="X24" s="28"/>
      <c r="Y24" s="28"/>
      <c r="Z24" s="26" t="str">
        <f t="shared" si="0"/>
        <v>Không thực hiện</v>
      </c>
      <c r="AA24" s="26" t="e">
        <f t="shared" ca="1" si="1"/>
        <v>#NAME?</v>
      </c>
      <c r="AB24" s="32"/>
    </row>
    <row r="25" spans="1:28" ht="15" customHeight="1" x14ac:dyDescent="0.2">
      <c r="A25" s="31">
        <v>24</v>
      </c>
      <c r="B25" s="23" t="s">
        <v>118</v>
      </c>
      <c r="C25" s="23" t="s">
        <v>99</v>
      </c>
      <c r="D25" s="23">
        <v>26</v>
      </c>
      <c r="E25" s="23">
        <v>10</v>
      </c>
      <c r="F25" s="23">
        <v>2026</v>
      </c>
      <c r="G25" s="23" t="s">
        <v>86</v>
      </c>
      <c r="H25" s="30" t="s">
        <v>143</v>
      </c>
      <c r="I25" s="23" t="s">
        <v>110</v>
      </c>
      <c r="J25" s="23" t="s">
        <v>110</v>
      </c>
      <c r="K25" s="23" t="s">
        <v>120</v>
      </c>
      <c r="L25" s="23" t="s">
        <v>90</v>
      </c>
      <c r="M25" s="23" t="s">
        <v>91</v>
      </c>
      <c r="N25" s="24"/>
      <c r="O25" s="23"/>
      <c r="P25" s="24"/>
      <c r="Q25" s="24"/>
      <c r="R25" s="24"/>
      <c r="S25" s="26" t="str">
        <f t="shared" ref="S25:U25" si="23">IF(V25&gt;0,"Có","Không")</f>
        <v>Không</v>
      </c>
      <c r="T25" s="26" t="str">
        <f t="shared" si="23"/>
        <v>Không</v>
      </c>
      <c r="U25" s="26" t="str">
        <f t="shared" si="23"/>
        <v>Không</v>
      </c>
      <c r="V25" s="28"/>
      <c r="W25" s="28"/>
      <c r="X25" s="28"/>
      <c r="Y25" s="28"/>
      <c r="Z25" s="26" t="str">
        <f t="shared" si="0"/>
        <v>Không thực hiện</v>
      </c>
      <c r="AA25" s="26" t="e">
        <f t="shared" ca="1" si="1"/>
        <v>#NAME?</v>
      </c>
      <c r="AB25" s="32"/>
    </row>
    <row r="26" spans="1:28" ht="15" customHeight="1" x14ac:dyDescent="0.2">
      <c r="A26" s="31">
        <v>25</v>
      </c>
      <c r="B26" s="23" t="s">
        <v>118</v>
      </c>
      <c r="C26" s="23" t="s">
        <v>99</v>
      </c>
      <c r="D26" s="23">
        <v>2</v>
      </c>
      <c r="E26" s="23">
        <v>11</v>
      </c>
      <c r="F26" s="23">
        <v>2026</v>
      </c>
      <c r="G26" s="23" t="s">
        <v>86</v>
      </c>
      <c r="H26" s="23" t="s">
        <v>144</v>
      </c>
      <c r="I26" s="23" t="s">
        <v>106</v>
      </c>
      <c r="J26" s="23" t="s">
        <v>106</v>
      </c>
      <c r="K26" s="23" t="s">
        <v>120</v>
      </c>
      <c r="L26" s="23" t="s">
        <v>90</v>
      </c>
      <c r="M26" s="23" t="s">
        <v>91</v>
      </c>
      <c r="N26" s="24"/>
      <c r="O26" s="23"/>
      <c r="P26" s="24"/>
      <c r="Q26" s="24"/>
      <c r="R26" s="24"/>
      <c r="S26" s="26" t="str">
        <f t="shared" ref="S26:U26" si="24">IF(V26&gt;0,"Có","Không")</f>
        <v>Không</v>
      </c>
      <c r="T26" s="26" t="str">
        <f t="shared" si="24"/>
        <v>Không</v>
      </c>
      <c r="U26" s="26" t="str">
        <f t="shared" si="24"/>
        <v>Không</v>
      </c>
      <c r="V26" s="28"/>
      <c r="W26" s="28"/>
      <c r="X26" s="28"/>
      <c r="Y26" s="28"/>
      <c r="Z26" s="26" t="str">
        <f t="shared" si="0"/>
        <v>Không thực hiện</v>
      </c>
      <c r="AA26" s="26" t="e">
        <f t="shared" ca="1" si="1"/>
        <v>#NAME?</v>
      </c>
      <c r="AB26" s="32"/>
    </row>
    <row r="27" spans="1:28" ht="15" customHeight="1" x14ac:dyDescent="0.2">
      <c r="A27" s="31">
        <v>26</v>
      </c>
      <c r="B27" s="23" t="s">
        <v>118</v>
      </c>
      <c r="C27" s="23" t="s">
        <v>99</v>
      </c>
      <c r="D27" s="23">
        <v>9</v>
      </c>
      <c r="E27" s="23">
        <v>11</v>
      </c>
      <c r="F27" s="23">
        <v>2026</v>
      </c>
      <c r="G27" s="23" t="s">
        <v>86</v>
      </c>
      <c r="H27" s="23" t="s">
        <v>145</v>
      </c>
      <c r="I27" s="23" t="s">
        <v>101</v>
      </c>
      <c r="J27" s="23" t="s">
        <v>101</v>
      </c>
      <c r="K27" s="23" t="s">
        <v>120</v>
      </c>
      <c r="L27" s="23" t="s">
        <v>90</v>
      </c>
      <c r="M27" s="23" t="s">
        <v>91</v>
      </c>
      <c r="N27" s="24"/>
      <c r="O27" s="23"/>
      <c r="P27" s="24"/>
      <c r="Q27" s="24"/>
      <c r="R27" s="24"/>
      <c r="S27" s="26" t="str">
        <f t="shared" ref="S27:U27" si="25">IF(V27&gt;0,"Có","Không")</f>
        <v>Không</v>
      </c>
      <c r="T27" s="26" t="str">
        <f t="shared" si="25"/>
        <v>Không</v>
      </c>
      <c r="U27" s="26" t="str">
        <f t="shared" si="25"/>
        <v>Không</v>
      </c>
      <c r="V27" s="28"/>
      <c r="W27" s="28"/>
      <c r="X27" s="28"/>
      <c r="Y27" s="28"/>
      <c r="Z27" s="26" t="str">
        <f t="shared" si="0"/>
        <v>Không thực hiện</v>
      </c>
      <c r="AA27" s="26" t="e">
        <f t="shared" ca="1" si="1"/>
        <v>#NAME?</v>
      </c>
      <c r="AB27" s="32"/>
    </row>
    <row r="28" spans="1:28" ht="15" customHeight="1" x14ac:dyDescent="0.2">
      <c r="A28" s="31">
        <v>27</v>
      </c>
      <c r="B28" s="23" t="s">
        <v>118</v>
      </c>
      <c r="C28" s="23" t="s">
        <v>99</v>
      </c>
      <c r="D28" s="23">
        <v>23</v>
      </c>
      <c r="E28" s="23">
        <v>11</v>
      </c>
      <c r="F28" s="23">
        <v>2026</v>
      </c>
      <c r="G28" s="23" t="s">
        <v>86</v>
      </c>
      <c r="H28" s="23" t="s">
        <v>146</v>
      </c>
      <c r="I28" s="23" t="s">
        <v>91</v>
      </c>
      <c r="J28" s="23" t="s">
        <v>91</v>
      </c>
      <c r="K28" s="23" t="s">
        <v>120</v>
      </c>
      <c r="L28" s="23" t="s">
        <v>90</v>
      </c>
      <c r="M28" s="23" t="s">
        <v>91</v>
      </c>
      <c r="N28" s="24"/>
      <c r="O28" s="23"/>
      <c r="P28" s="24"/>
      <c r="Q28" s="24"/>
      <c r="R28" s="24"/>
      <c r="S28" s="26" t="str">
        <f t="shared" ref="S28:U28" si="26">IF(V28&gt;0,"Có","Không")</f>
        <v>Không</v>
      </c>
      <c r="T28" s="26" t="str">
        <f t="shared" si="26"/>
        <v>Không</v>
      </c>
      <c r="U28" s="26" t="str">
        <f t="shared" si="26"/>
        <v>Không</v>
      </c>
      <c r="V28" s="28"/>
      <c r="W28" s="28"/>
      <c r="X28" s="28"/>
      <c r="Y28" s="28"/>
      <c r="Z28" s="26" t="str">
        <f t="shared" si="0"/>
        <v>Không thực hiện</v>
      </c>
      <c r="AA28" s="26" t="e">
        <f t="shared" ca="1" si="1"/>
        <v>#NAME?</v>
      </c>
      <c r="AB28" s="32"/>
    </row>
    <row r="29" spans="1:28" ht="15" customHeight="1" x14ac:dyDescent="0.2">
      <c r="A29" s="31">
        <v>28</v>
      </c>
      <c r="B29" s="23" t="s">
        <v>118</v>
      </c>
      <c r="C29" s="23" t="s">
        <v>99</v>
      </c>
      <c r="D29" s="23">
        <v>30</v>
      </c>
      <c r="E29" s="23">
        <v>11</v>
      </c>
      <c r="F29" s="23">
        <v>2026</v>
      </c>
      <c r="G29" s="23" t="s">
        <v>86</v>
      </c>
      <c r="H29" s="23" t="s">
        <v>147</v>
      </c>
      <c r="I29" s="23" t="s">
        <v>134</v>
      </c>
      <c r="J29" s="23" t="s">
        <v>134</v>
      </c>
      <c r="K29" s="23" t="s">
        <v>120</v>
      </c>
      <c r="L29" s="23" t="s">
        <v>90</v>
      </c>
      <c r="M29" s="23" t="s">
        <v>91</v>
      </c>
      <c r="N29" s="24"/>
      <c r="O29" s="23"/>
      <c r="P29" s="24"/>
      <c r="Q29" s="24"/>
      <c r="R29" s="24"/>
      <c r="S29" s="26" t="str">
        <f t="shared" ref="S29:U29" si="27">IF(V29&gt;0,"Có","Không")</f>
        <v>Không</v>
      </c>
      <c r="T29" s="26" t="str">
        <f t="shared" si="27"/>
        <v>Không</v>
      </c>
      <c r="U29" s="26" t="str">
        <f t="shared" si="27"/>
        <v>Không</v>
      </c>
      <c r="V29" s="28"/>
      <c r="W29" s="28"/>
      <c r="X29" s="28"/>
      <c r="Y29" s="28"/>
      <c r="Z29" s="26" t="str">
        <f t="shared" si="0"/>
        <v>Không thực hiện</v>
      </c>
      <c r="AA29" s="26" t="e">
        <f t="shared" ca="1" si="1"/>
        <v>#NAME?</v>
      </c>
      <c r="AB29" s="32"/>
    </row>
    <row r="30" spans="1:28" ht="15" customHeight="1" x14ac:dyDescent="0.2">
      <c r="A30" s="31">
        <v>29</v>
      </c>
      <c r="B30" s="23" t="s">
        <v>118</v>
      </c>
      <c r="C30" s="23" t="s">
        <v>99</v>
      </c>
      <c r="D30" s="23">
        <v>7</v>
      </c>
      <c r="E30" s="23">
        <v>12</v>
      </c>
      <c r="F30" s="23">
        <v>2026</v>
      </c>
      <c r="G30" s="23" t="s">
        <v>86</v>
      </c>
      <c r="H30" s="23" t="s">
        <v>148</v>
      </c>
      <c r="I30" s="23" t="s">
        <v>108</v>
      </c>
      <c r="J30" s="23" t="s">
        <v>108</v>
      </c>
      <c r="K30" s="23" t="s">
        <v>120</v>
      </c>
      <c r="L30" s="23" t="s">
        <v>90</v>
      </c>
      <c r="M30" s="23" t="s">
        <v>91</v>
      </c>
      <c r="N30" s="24"/>
      <c r="O30" s="23"/>
      <c r="P30" s="24"/>
      <c r="Q30" s="24"/>
      <c r="R30" s="24"/>
      <c r="S30" s="26" t="str">
        <f t="shared" ref="S30:U30" si="28">IF(V30&gt;0,"Có","Không")</f>
        <v>Không</v>
      </c>
      <c r="T30" s="26" t="str">
        <f t="shared" si="28"/>
        <v>Không</v>
      </c>
      <c r="U30" s="26" t="str">
        <f t="shared" si="28"/>
        <v>Không</v>
      </c>
      <c r="V30" s="28"/>
      <c r="W30" s="28"/>
      <c r="X30" s="28"/>
      <c r="Y30" s="28"/>
      <c r="Z30" s="26" t="str">
        <f t="shared" si="0"/>
        <v>Không thực hiện</v>
      </c>
      <c r="AA30" s="26" t="e">
        <f t="shared" ca="1" si="1"/>
        <v>#NAME?</v>
      </c>
      <c r="AB30" s="32"/>
    </row>
    <row r="31" spans="1:28" ht="15" customHeight="1" x14ac:dyDescent="0.2">
      <c r="A31" s="31">
        <v>30</v>
      </c>
      <c r="B31" s="23" t="s">
        <v>118</v>
      </c>
      <c r="C31" s="23" t="s">
        <v>99</v>
      </c>
      <c r="D31" s="23">
        <v>14</v>
      </c>
      <c r="E31" s="23">
        <v>12</v>
      </c>
      <c r="F31" s="23">
        <v>2026</v>
      </c>
      <c r="G31" s="23" t="s">
        <v>86</v>
      </c>
      <c r="H31" s="23" t="s">
        <v>149</v>
      </c>
      <c r="I31" s="23" t="s">
        <v>113</v>
      </c>
      <c r="J31" s="23" t="s">
        <v>113</v>
      </c>
      <c r="K31" s="23" t="s">
        <v>120</v>
      </c>
      <c r="L31" s="23" t="s">
        <v>90</v>
      </c>
      <c r="M31" s="23" t="s">
        <v>91</v>
      </c>
      <c r="N31" s="24"/>
      <c r="O31" s="23"/>
      <c r="P31" s="24"/>
      <c r="Q31" s="24"/>
      <c r="R31" s="24"/>
      <c r="S31" s="26" t="str">
        <f t="shared" ref="S31:U31" si="29">IF(V31&gt;0,"Có","Không")</f>
        <v>Không</v>
      </c>
      <c r="T31" s="26" t="str">
        <f t="shared" si="29"/>
        <v>Không</v>
      </c>
      <c r="U31" s="26" t="str">
        <f t="shared" si="29"/>
        <v>Không</v>
      </c>
      <c r="V31" s="28"/>
      <c r="W31" s="28"/>
      <c r="X31" s="28"/>
      <c r="Y31" s="28"/>
      <c r="Z31" s="26" t="str">
        <f t="shared" si="0"/>
        <v>Không thực hiện</v>
      </c>
      <c r="AA31" s="26" t="e">
        <f t="shared" ca="1" si="1"/>
        <v>#NAME?</v>
      </c>
      <c r="AB31" s="32"/>
    </row>
    <row r="32" spans="1:28" ht="15" customHeight="1" x14ac:dyDescent="0.2">
      <c r="A32" s="39">
        <v>31</v>
      </c>
      <c r="B32" s="40" t="s">
        <v>118</v>
      </c>
      <c r="C32" s="40" t="s">
        <v>99</v>
      </c>
      <c r="D32" s="40">
        <v>21</v>
      </c>
      <c r="E32" s="40">
        <v>12</v>
      </c>
      <c r="F32" s="23">
        <v>2026</v>
      </c>
      <c r="G32" s="40" t="s">
        <v>86</v>
      </c>
      <c r="H32" s="40" t="s">
        <v>150</v>
      </c>
      <c r="I32" s="40" t="s">
        <v>91</v>
      </c>
      <c r="J32" s="40" t="s">
        <v>91</v>
      </c>
      <c r="K32" s="40" t="s">
        <v>120</v>
      </c>
      <c r="L32" s="40" t="s">
        <v>90</v>
      </c>
      <c r="M32" s="40" t="s">
        <v>91</v>
      </c>
      <c r="N32" s="41"/>
      <c r="O32" s="40"/>
      <c r="P32" s="41"/>
      <c r="Q32" s="41"/>
      <c r="R32" s="41"/>
      <c r="S32" s="42" t="str">
        <f t="shared" ref="S32:U32" si="30">IF(V32&gt;0,"Có","Không")</f>
        <v>Không</v>
      </c>
      <c r="T32" s="42" t="str">
        <f t="shared" si="30"/>
        <v>Không</v>
      </c>
      <c r="U32" s="42" t="str">
        <f t="shared" si="30"/>
        <v>Không</v>
      </c>
      <c r="V32" s="43"/>
      <c r="W32" s="43"/>
      <c r="X32" s="43"/>
      <c r="Y32" s="43"/>
      <c r="Z32" s="42" t="str">
        <f t="shared" si="0"/>
        <v>Không thực hiện</v>
      </c>
      <c r="AA32" s="42" t="e">
        <f t="shared" ca="1" si="1"/>
        <v>#NAME?</v>
      </c>
      <c r="AB32" s="44"/>
    </row>
  </sheetData>
  <dataValidations count="2">
    <dataValidation type="list" allowBlank="1" sqref="B2:C19 C20:C21" xr:uid="{00000000-0002-0000-0100-000000000000}">
      <formula1>"Thứ Hai,Thứ Ba,Thứ Tư,Thứ Năm,Thứ Sáu,Thứ Bảy"</formula1>
    </dataValidation>
    <dataValidation type="list" allowBlank="1" sqref="O2:O20" xr:uid="{00000000-0002-0000-0100-000001000000}">
      <formula1>"Phòng Hành chính khoa,Hội trường 8A,Phòng họp 1A,Phòng họp TGĐ,Phòng họp Chủ tịch"</formula1>
    </dataValidation>
  </dataValidations>
  <hyperlinks>
    <hyperlink ref="V2" r:id="rId1" xr:uid="{00000000-0004-0000-0100-000000000000}"/>
    <hyperlink ref="W2" r:id="rId2" xr:uid="{00000000-0004-0000-0100-000001000000}"/>
    <hyperlink ref="X2" r:id="rId3" xr:uid="{00000000-0004-0000-0100-000002000000}"/>
    <hyperlink ref="V3" r:id="rId4" xr:uid="{00000000-0004-0000-0100-000003000000}"/>
    <hyperlink ref="W3" r:id="rId5" xr:uid="{00000000-0004-0000-0100-000004000000}"/>
    <hyperlink ref="X3" r:id="rId6" xr:uid="{00000000-0004-0000-0100-000005000000}"/>
  </hyperlinks>
  <pageMargins left="0.7" right="0.7" top="0.75" bottom="0.75" header="0" footer="0"/>
  <pageSetup fitToHeight="0" orientation="landscape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trình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bv-giangnt</dc:creator>
  <cp:lastModifiedBy>Do Pham Tran</cp:lastModifiedBy>
  <dcterms:created xsi:type="dcterms:W3CDTF">2015-06-05T18:17:20Z</dcterms:created>
  <dcterms:modified xsi:type="dcterms:W3CDTF">2026-05-21T09:08:16Z</dcterms:modified>
</cp:coreProperties>
</file>