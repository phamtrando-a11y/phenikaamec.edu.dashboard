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3" documentId="11_CD563AD0CC597F87461B015BD1A5C9C6B1E4B856" xr6:coauthVersionLast="47" xr6:coauthVersionMax="47" xr10:uidLastSave="{62E0DDA1-7248-409E-80F1-360AE42E2D91}"/>
  <bookViews>
    <workbookView xWindow="-120" yWindow="-120" windowWidth="22920" windowHeight="13755" xr2:uid="{00000000-000D-0000-FFFF-FFFF00000000}"/>
  </bookViews>
  <sheets>
    <sheet name="Kế hoạch" sheetId="1" r:id="rId1"/>
    <sheet name="Quy trình" sheetId="2" r:id="rId2"/>
  </sheets>
  <definedNames>
    <definedName name="_xlnm._FilterDatabase" localSheetId="0" hidden="1">'Kế hoạch'!$A$1:$AB$48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8" i="1" l="1"/>
  <c r="Z48" i="1"/>
  <c r="U48" i="1"/>
  <c r="T48" i="1"/>
  <c r="S48" i="1"/>
  <c r="A48" i="1"/>
  <c r="AA47" i="1"/>
  <c r="Z47" i="1"/>
  <c r="U47" i="1"/>
  <c r="T47" i="1"/>
  <c r="S47" i="1"/>
  <c r="A47" i="1"/>
  <c r="AA46" i="1"/>
  <c r="Z46" i="1"/>
  <c r="U46" i="1"/>
  <c r="T46" i="1"/>
  <c r="S46" i="1"/>
  <c r="A46" i="1"/>
  <c r="AA45" i="1"/>
  <c r="Z45" i="1"/>
  <c r="U45" i="1"/>
  <c r="T45" i="1"/>
  <c r="S45" i="1"/>
  <c r="A45" i="1"/>
  <c r="AA44" i="1"/>
  <c r="Z44" i="1"/>
  <c r="U44" i="1"/>
  <c r="T44" i="1"/>
  <c r="S44" i="1"/>
  <c r="A44" i="1"/>
  <c r="AA43" i="1"/>
  <c r="Z43" i="1"/>
  <c r="U43" i="1"/>
  <c r="T43" i="1"/>
  <c r="S43" i="1"/>
  <c r="A43" i="1"/>
  <c r="AA42" i="1"/>
  <c r="Z42" i="1"/>
  <c r="U42" i="1"/>
  <c r="T42" i="1"/>
  <c r="S42" i="1"/>
  <c r="A42" i="1"/>
  <c r="AA41" i="1"/>
  <c r="Z41" i="1"/>
  <c r="U41" i="1"/>
  <c r="T41" i="1"/>
  <c r="S41" i="1"/>
  <c r="A41" i="1"/>
  <c r="AA40" i="1"/>
  <c r="Z40" i="1"/>
  <c r="U40" i="1"/>
  <c r="T40" i="1"/>
  <c r="S40" i="1"/>
  <c r="A40" i="1"/>
  <c r="AA39" i="1"/>
  <c r="Z39" i="1"/>
  <c r="U39" i="1"/>
  <c r="T39" i="1"/>
  <c r="S39" i="1"/>
  <c r="A39" i="1"/>
  <c r="AA38" i="1"/>
  <c r="Z38" i="1"/>
  <c r="U38" i="1"/>
  <c r="T38" i="1"/>
  <c r="S38" i="1"/>
  <c r="A38" i="1"/>
  <c r="AA37" i="1"/>
  <c r="Z37" i="1"/>
  <c r="U37" i="1"/>
  <c r="T37" i="1"/>
  <c r="S37" i="1"/>
  <c r="A37" i="1"/>
  <c r="AA36" i="1"/>
  <c r="Z36" i="1"/>
  <c r="U36" i="1"/>
  <c r="T36" i="1"/>
  <c r="S36" i="1"/>
  <c r="A36" i="1"/>
  <c r="AA35" i="1"/>
  <c r="Z35" i="1"/>
  <c r="U35" i="1"/>
  <c r="T35" i="1"/>
  <c r="S35" i="1"/>
  <c r="A35" i="1"/>
  <c r="AA34" i="1"/>
  <c r="Z34" i="1"/>
  <c r="U34" i="1"/>
  <c r="T34" i="1"/>
  <c r="S34" i="1"/>
  <c r="A34" i="1"/>
  <c r="AA33" i="1"/>
  <c r="Z33" i="1"/>
  <c r="U33" i="1"/>
  <c r="T33" i="1"/>
  <c r="S33" i="1"/>
  <c r="A33" i="1"/>
  <c r="AA32" i="1"/>
  <c r="Z32" i="1"/>
  <c r="U32" i="1"/>
  <c r="T32" i="1"/>
  <c r="S32" i="1"/>
  <c r="A32" i="1"/>
  <c r="AA31" i="1"/>
  <c r="Z31" i="1"/>
  <c r="U31" i="1"/>
  <c r="T31" i="1"/>
  <c r="S31" i="1"/>
  <c r="A31" i="1"/>
  <c r="AA30" i="1"/>
  <c r="Z30" i="1"/>
  <c r="U30" i="1"/>
  <c r="T30" i="1"/>
  <c r="S30" i="1"/>
  <c r="A30" i="1"/>
  <c r="AA29" i="1"/>
  <c r="Z29" i="1"/>
  <c r="U29" i="1"/>
  <c r="T29" i="1"/>
  <c r="S29" i="1"/>
  <c r="A29" i="1"/>
  <c r="AA28" i="1"/>
  <c r="Z28" i="1"/>
  <c r="U28" i="1"/>
  <c r="T28" i="1"/>
  <c r="S28" i="1"/>
  <c r="A28" i="1"/>
  <c r="AA27" i="1"/>
  <c r="Z27" i="1"/>
  <c r="U27" i="1"/>
  <c r="T27" i="1"/>
  <c r="S27" i="1"/>
  <c r="A27" i="1"/>
  <c r="AA26" i="1"/>
  <c r="Z26" i="1"/>
  <c r="U26" i="1"/>
  <c r="T26" i="1"/>
  <c r="S26" i="1"/>
  <c r="A26" i="1"/>
  <c r="AA25" i="1"/>
  <c r="Z25" i="1"/>
  <c r="U25" i="1"/>
  <c r="T25" i="1"/>
  <c r="S25" i="1"/>
  <c r="A25" i="1"/>
  <c r="AA24" i="1"/>
  <c r="Z24" i="1"/>
  <c r="U24" i="1"/>
  <c r="T24" i="1"/>
  <c r="S24" i="1"/>
  <c r="AA23" i="1"/>
  <c r="Z23" i="1"/>
  <c r="U23" i="1"/>
  <c r="T23" i="1"/>
  <c r="S23" i="1"/>
  <c r="AA22" i="1"/>
  <c r="Z22" i="1"/>
  <c r="U22" i="1"/>
  <c r="T22" i="1"/>
  <c r="S22" i="1"/>
  <c r="AA21" i="1"/>
  <c r="Z21" i="1"/>
  <c r="U21" i="1"/>
  <c r="T21" i="1"/>
  <c r="S21" i="1"/>
  <c r="AA20" i="1"/>
  <c r="Z20" i="1"/>
  <c r="U20" i="1"/>
  <c r="T20" i="1"/>
  <c r="S20" i="1"/>
  <c r="AA19" i="1"/>
  <c r="Z19" i="1"/>
  <c r="U19" i="1"/>
  <c r="T19" i="1"/>
  <c r="S19" i="1"/>
  <c r="AA18" i="1"/>
  <c r="Z18" i="1"/>
  <c r="U18" i="1"/>
  <c r="T18" i="1"/>
  <c r="S18" i="1"/>
  <c r="AA17" i="1"/>
  <c r="U17" i="1"/>
  <c r="T17" i="1"/>
  <c r="S17" i="1"/>
  <c r="AA16" i="1"/>
  <c r="Z16" i="1"/>
  <c r="U16" i="1"/>
  <c r="T16" i="1"/>
  <c r="S16" i="1"/>
  <c r="AA15" i="1"/>
  <c r="Z15" i="1"/>
  <c r="U15" i="1"/>
  <c r="T15" i="1"/>
  <c r="S15" i="1"/>
  <c r="AA14" i="1"/>
  <c r="Z14" i="1"/>
  <c r="U14" i="1"/>
  <c r="T14" i="1"/>
  <c r="S14" i="1"/>
  <c r="AA13" i="1"/>
  <c r="Z13" i="1"/>
  <c r="U13" i="1"/>
  <c r="T13" i="1"/>
  <c r="S13" i="1"/>
  <c r="AA12" i="1"/>
  <c r="Z12" i="1"/>
  <c r="U12" i="1"/>
  <c r="T12" i="1"/>
  <c r="S12" i="1"/>
  <c r="AA11" i="1"/>
  <c r="Z11" i="1"/>
  <c r="U11" i="1"/>
  <c r="T11" i="1"/>
  <c r="S11" i="1"/>
  <c r="AA10" i="1"/>
  <c r="Z10" i="1"/>
  <c r="U10" i="1"/>
  <c r="T10" i="1"/>
  <c r="S10" i="1"/>
  <c r="AA9" i="1"/>
  <c r="Z9" i="1"/>
  <c r="U9" i="1"/>
  <c r="T9" i="1"/>
  <c r="S9" i="1"/>
  <c r="AA8" i="1"/>
  <c r="Z8" i="1"/>
  <c r="U8" i="1"/>
  <c r="T8" i="1"/>
  <c r="S8" i="1"/>
  <c r="AA7" i="1"/>
  <c r="Z7" i="1"/>
  <c r="U7" i="1"/>
  <c r="T7" i="1"/>
  <c r="S7" i="1"/>
  <c r="AA6" i="1"/>
  <c r="Z6" i="1"/>
  <c r="U6" i="1"/>
  <c r="T6" i="1"/>
  <c r="S6" i="1"/>
  <c r="AA5" i="1"/>
  <c r="Z5" i="1"/>
  <c r="U5" i="1"/>
  <c r="T5" i="1"/>
  <c r="S5" i="1"/>
  <c r="AA4" i="1"/>
  <c r="Z4" i="1"/>
  <c r="U4" i="1"/>
  <c r="T4" i="1"/>
  <c r="S4" i="1"/>
  <c r="AA3" i="1"/>
  <c r="Z3" i="1"/>
  <c r="U3" i="1"/>
  <c r="T3" i="1"/>
  <c r="S3" i="1"/>
  <c r="AA2" i="1"/>
  <c r="Z2" i="1"/>
  <c r="U2" i="1"/>
  <c r="T2" i="1"/>
  <c r="S2" i="1"/>
</calcChain>
</file>

<file path=xl/sharedStrings.xml><?xml version="1.0" encoding="utf-8"?>
<sst xmlns="http://schemas.openxmlformats.org/spreadsheetml/2006/main" count="542" uniqueCount="199">
  <si>
    <t>STT</t>
  </si>
  <si>
    <t>THỨ</t>
  </si>
  <si>
    <t>Giờ</t>
  </si>
  <si>
    <t>Ngày</t>
  </si>
  <si>
    <t>Tháng</t>
  </si>
  <si>
    <t>Năm</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</si>
  <si>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</si>
  <si>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</si>
  <si>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</si>
  <si>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</si>
  <si>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</si>
  <si>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</si>
  <si>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</si>
  <si>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</si>
  <si>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</si>
  <si>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</si>
  <si>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</si>
  <si>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</si>
  <si>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</si>
  <si>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</si>
  <si>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</si>
  <si>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</si>
  <si>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</si>
  <si>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</si>
  <si>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</si>
  <si>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</si>
  <si>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</si>
  <si>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Năm</t>
  </si>
  <si>
    <t>15h00 - 16h00</t>
  </si>
  <si>
    <t>Trung tâm Y học cổ truyền</t>
  </si>
  <si>
    <t>Điều trị rối loạn cương dương bằng Y học cổ truyền</t>
  </si>
  <si>
    <t>Ths.BS Chử Lương Huân</t>
  </si>
  <si>
    <t>Bác sỹ</t>
  </si>
  <si>
    <t>Phòng Hành chính khoa</t>
  </si>
  <si>
    <t>BS Lê Tiến Đạt</t>
  </si>
  <si>
    <t>15h00 - 16h01</t>
  </si>
  <si>
    <t>Chẩn đoán và điều trị đau cột sống thắt lưng bằng YHCT kết hợp YHHĐ</t>
  </si>
  <si>
    <t>Ths.BS Nguyễn Thế Công</t>
  </si>
  <si>
    <t>15h00 - 16h02</t>
  </si>
  <si>
    <t>Xoa bóp bấm huyệt điều trị đau do ung thư</t>
  </si>
  <si>
    <t>BSNT Trần Nam Sơn</t>
  </si>
  <si>
    <t>15h00 - 16h03</t>
  </si>
  <si>
    <t>Quy trình phụ bác sĩ cấy chỉ</t>
  </si>
  <si>
    <t>DD Duy Thị Hiền</t>
  </si>
  <si>
    <t>Điều Dưỡng</t>
  </si>
  <si>
    <t>15h00 - 16h04</t>
  </si>
  <si>
    <t>Cập nhật chẩn đoán và điều trị bệnh trào ngược dạ dày thực quản theo YHCT kết hợp YHHĐ</t>
  </si>
  <si>
    <t>TS.BS Lưu Việt Cường</t>
  </si>
  <si>
    <t>15h00 - 16h05</t>
  </si>
  <si>
    <t>Xoa bóp bấm huyệt chuyên sâu vùng mặt</t>
  </si>
  <si>
    <t>Ths.BSNT  Phạm Thu Trang</t>
  </si>
  <si>
    <t>15h00 - 16h06</t>
  </si>
  <si>
    <t>Cập nhật chẩn đoán và điều trị thoát vị đĩa đệm cột sống cổ bằng YHCT kết hợp YHHĐ</t>
  </si>
  <si>
    <t>BSNT Nguyễn Thị Vinh</t>
  </si>
  <si>
    <t>15h00 - 16h07</t>
  </si>
  <si>
    <t>Kỹ thuật kéo giãn cột sống bằng tay</t>
  </si>
  <si>
    <t>KTV Nguyễn Văn Quốc</t>
  </si>
  <si>
    <t>Kỹ thuật Y</t>
  </si>
  <si>
    <t>15h00 - 16h08</t>
  </si>
  <si>
    <t xml:space="preserve">Điều trị Táo bón do hóa trị trên bệnh nhân ung thư bằng YHCT </t>
  </si>
  <si>
    <t>Ths.BSNT Lê Tiến Đạt</t>
  </si>
  <si>
    <t>15h00 - 16h09</t>
  </si>
  <si>
    <t>Cập nhật chẩn đoán và điều trị loãng xương theo YHCT kết hợp YHHĐ</t>
  </si>
  <si>
    <t xml:space="preserve">Ths.BSNT Dương Thế Ngọc </t>
  </si>
  <si>
    <t>15h00 - 16h10</t>
  </si>
  <si>
    <t xml:space="preserve">Các phương pháp thăm dò chức năng thần kinh tự chủ </t>
  </si>
  <si>
    <t>Ths.BSNT Vũ MInh Phụng</t>
  </si>
  <si>
    <t>15h00 - 16h11</t>
  </si>
  <si>
    <t>Cập nhật chẩn đoán và điều trị trĩ theo YHCT kết hợp YHHĐ</t>
  </si>
  <si>
    <t>15h00 - 16h12</t>
  </si>
  <si>
    <t>Chăm sóc người bệnh viêm tuyến vú do tắc tia sữa</t>
  </si>
  <si>
    <t>DĐ Trần Vũ Hải Đông</t>
  </si>
  <si>
    <t>15h00 - 16h13</t>
  </si>
  <si>
    <t>Chẩn đoán và điều trị thoái hoá khớp gối bằng YHCT kết hợp YHHĐ</t>
  </si>
  <si>
    <t>15h00 - 16h14</t>
  </si>
  <si>
    <t>Xoa bóp bấm huyệt điều trị mệt mỏi do ung thư</t>
  </si>
  <si>
    <t>15h00 - 16h15</t>
  </si>
  <si>
    <t>Cập nhật chẩn đoán và điều trị bệnh phổi tắc nghẽn mãn tính theo YHCT kết hợp YHHĐ</t>
  </si>
  <si>
    <t xml:space="preserve">Có </t>
  </si>
  <si>
    <t>https://docs.google.com/spreadsheets/d/1rNF46pn3qZsUbSrDqb1sswiBJhft8174/edit?usp=drive_link&amp;ouid=105979442922399428225&amp;rtpof=true&amp;sd=true</t>
  </si>
  <si>
    <t>https://drive.google.com/file/d/13HbCFlbzkVhxgh1K1BoBRlwOUceKRgRe/view?usp=drive_link</t>
  </si>
  <si>
    <t>https://drive.google.com/file/d/19S1jDemlROV9WXiw1JieEuOhuoOnPX8A/view?usp=drive_link</t>
  </si>
  <si>
    <t>Có thực hiện</t>
  </si>
  <si>
    <t>15h00 - 16h16</t>
  </si>
  <si>
    <t>Cấy chỉ điều trị viêm mũi dị ứng</t>
  </si>
  <si>
    <t>Ths.BSNT Phạm Thu Trang</t>
  </si>
  <si>
    <t xml:space="preserve">có </t>
  </si>
  <si>
    <t>https://docs.google.com/spreadsheets/d/1UYY2OGDNscJSZuQ05gT7Tgp16jqZGDID/edit?usp=drive_link&amp;ouid=105979442922399428225&amp;rtpof=true&amp;sd=true</t>
  </si>
  <si>
    <t>https://docs.google.com/document/d/1nOKvQmcnZ5W5RtUuMBJc-tx_HW37pzTN/edit?usp=drive_link&amp;ouid=105979442922399428225&amp;rtpof=true&amp;sd=true</t>
  </si>
  <si>
    <t>https://drive.google.com/file/d/1klMybyaB-jUk04hLjc3bJS71osAf4zvD/view?usp=drive_link</t>
  </si>
  <si>
    <t>15h00 - 16h17</t>
  </si>
  <si>
    <t>Đánh giá và chăm sóc vết loét tỳ đè</t>
  </si>
  <si>
    <t>DD Nguyễn Thị Duyên</t>
  </si>
  <si>
    <t>15h00 - 16h18</t>
  </si>
  <si>
    <t>Cập nhật chẩn đoán và điều trị đau vai kết hợp YHCT và PHCN</t>
  </si>
  <si>
    <t>15h00 - 16h19</t>
  </si>
  <si>
    <t xml:space="preserve">Điều trị Rụng tóc do hóa trị trên bệnh nhân ung thư bằng YHCT </t>
  </si>
  <si>
    <t>15h00 - 16h20</t>
  </si>
  <si>
    <t>Cập nhật chẩn đoán và điều trị viêm khớp dạng thấp theo YHCT kết hợp YHHĐ</t>
  </si>
  <si>
    <t>15h00 - 16h21</t>
  </si>
  <si>
    <t>Cập nhật chẩn đoán và điều trị suy tim theo YHCT kết hợp YHHĐ</t>
  </si>
  <si>
    <t>15h00 - 16h22</t>
  </si>
  <si>
    <t>Chăm sóc người bệnh sau tai biến mạch máu não</t>
  </si>
  <si>
    <t>DD Phan Thị Hằng</t>
  </si>
  <si>
    <t>Điều trị Hội chứng ống cổ tay bằng YHCT kết hợp bài tập PHCN</t>
  </si>
  <si>
    <t>Bác sĩ, Điều dưỡng, Kỹ thuật viên</t>
  </si>
  <si>
    <t>Chẩn đoán và điều trị gút bằng YHCT kết hợp YHHĐ</t>
  </si>
  <si>
    <t>Ứng dụng xoa bóp bấm huyệt trong điều trị tê bì ở người bệnh ung thư</t>
  </si>
  <si>
    <t>PHCN bệnh nhân sau đột quỵ</t>
  </si>
  <si>
    <t>Điều dưỡng, Kỹ thuật viên</t>
  </si>
  <si>
    <t>Kỹ thuật xoa bóp bấm huyệt điều trị đau vai gáy</t>
  </si>
  <si>
    <t>DD Lê Thị Hạnh</t>
  </si>
  <si>
    <t>Cập nhật chẩn đoán và điều trị viêm da cơ địa</t>
  </si>
  <si>
    <t>Khám và phân loại đau cổ</t>
  </si>
  <si>
    <t>Điều trị khô miệng, viêm loét niêm mạc miệng do hóa xạ trị bằng YHCT</t>
  </si>
  <si>
    <t>Cập nhập phương pháp Hỏa châm trong điều trị một số bệnh thường gặp</t>
  </si>
  <si>
    <t>Tương tác thuốc chống đông và thuốc YHCT trong thực hành lâm sàng</t>
  </si>
  <si>
    <t>Ths.BSNT Vũ Minh Phụng</t>
  </si>
  <si>
    <t>Nhận biết sớm dấu hiệu đột quỵ.</t>
  </si>
  <si>
    <t>DD Nguyễn Thị Hường</t>
  </si>
  <si>
    <t>Chăm sóc người bệnh có vết loét, vết mổ chưa cắt chỉ</t>
  </si>
  <si>
    <t>DD Trần Thu Phương</t>
  </si>
  <si>
    <t>Ứng dụng châm cứu kết hợp tập vận động trong điều trị viêm quanh khớp vai</t>
  </si>
  <si>
    <t xml:space="preserve">Chẩn đoán và điều trị rò hậu môn bằng YHCT </t>
  </si>
  <si>
    <t>Ứng dụng xoa bóp bấm huyệt trong điều trị táo bón ở người bệnh ung thư</t>
  </si>
  <si>
    <t>Kế hoạch chăm sóc người bệnh liệt VII ngoại biên</t>
  </si>
  <si>
    <t>Cập nhập phương pháp Châm cứu khai khiếu tỉnh não trong điều trị đột quỵ não</t>
  </si>
  <si>
    <t>Cập nhật chẩn đoán và điều trị đau bụng kinh nguyên phát</t>
  </si>
  <si>
    <t>Chăm sóc người bệnh bí tiểu</t>
  </si>
  <si>
    <t xml:space="preserve">Nghiên cứu QUEST trial và thuốc YHCT trong điều trị suy tim </t>
  </si>
  <si>
    <t>Chăm sóc người bệnh mất ngủ bằng y học cổ truyền</t>
  </si>
  <si>
    <t>DD Trần Vũ Hải Đông</t>
  </si>
  <si>
    <t>Khám và phân loại đau vai</t>
  </si>
  <si>
    <t>Cập nhật chẩn đoán và điều trị giảm đau sau zona thần kinh</t>
  </si>
  <si>
    <t>Chăm sóc người bệnh thoát vị đĩa đệm CSTL</t>
  </si>
  <si>
    <t>DD Nguyễn Thị Thu Huyền</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</si>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</sst>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5" x14ac:knownFonts="1">
    <font>
      <sz val="11"/>
      <color theme="1"/>
      <name val="Calibri"/>
      <scheme val="minor"/>
    </font>
    <font>
      <b/>
      <sz val="12"/>
      <color theme="1"/>
      <name val="Times New Roman"/>
    </font>
    <font>
      <b/>
      <sz val="13"/>
      <color theme="1"/>
      <name val="Times New Roman"/>
    </font>
    <font>
      <sz val="12"/>
      <color theme="1"/>
      <name val="Times New Roman"/>
    </font>
    <font>
      <sz val="13"/>
      <color theme="1"/>
      <name val="Times New Roman"/>
    </font>
    <font>
      <u/>
      <sz val="11"/>
      <color rgb="FF0563C1"/>
      <name val="Calibri"/>
    </font>
    <font>
      <sz val="11"/>
      <color theme="1"/>
      <name val="Calibri"/>
    </font>
    <font>
      <sz val="11"/>
      <color theme="1"/>
      <name val="Calibri"/>
      <scheme val="minor"/>
    </font>
    <font>
      <sz val="12"/>
      <color rgb="FF081B3A"/>
      <name val="Times New Roman"/>
    </font>
    <font>
      <u/>
      <sz val="11"/>
      <color rgb="FF0000FF"/>
      <name val="Calibri"/>
    </font>
    <font>
      <u/>
      <sz val="11"/>
      <color rgb="FF0563C1"/>
      <name val="Calibri"/>
    </font>
    <font>
      <sz val="13"/>
      <color rgb="FF081B3A"/>
      <name val="Times New Roman"/>
    </font>
    <font>
      <sz val="11"/>
      <color theme="1"/>
      <name val="Arial"/>
    </font>
    <font>
      <b/>
      <sz val="11"/>
      <color theme="1"/>
      <name val="Times New Roman"/>
    </font>
    <font>
      <sz val="11"/>
      <color theme="1"/>
      <name val="Times New Roman"/>
    </font>
  </fonts>
  <fills count="13">
    <fill>
      <patternFill patternType="none"/>
    </fill>
    <fill>
      <patternFill patternType="gray125"/>
    </fill>
    <fill>
      <patternFill patternType="solid">
        <fgColor rgb="FFFFFF00"/>
        <bgColor rgb="FFFFFF00"/>
      </patternFill>
    </fill>
    <fill>
      <patternFill patternType="solid">
        <fgColor rgb="FFCCCCCC"/>
        <bgColor rgb="FFCCCCCC"/>
      </patternFill>
    </fill>
    <fill>
      <patternFill patternType="solid">
        <fgColor theme="0"/>
        <bgColor theme="0"/>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4">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3" fillId="0" borderId="1" xfId="0" applyFont="1" applyBorder="1" applyAlignment="1">
      <alignment horizontal="center" vertical="center"/>
    </xf>
    <xf numFmtId="0" fontId="3"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4" fillId="0" borderId="1" xfId="0" applyFont="1" applyBorder="1" applyAlignment="1">
      <alignment horizontal="center" wrapText="1"/>
    </xf>
    <xf numFmtId="0" fontId="4" fillId="0" borderId="1" xfId="0" applyFont="1" applyBorder="1" applyAlignment="1">
      <alignment horizontal="center"/>
    </xf>
    <xf numFmtId="0" fontId="12" fillId="0" borderId="0" xfId="0" applyFont="1"/>
    <xf numFmtId="0" fontId="4" fillId="6" borderId="1" xfId="0" applyFont="1" applyFill="1" applyBorder="1" applyAlignment="1">
      <alignment horizontal="center" wrapText="1"/>
    </xf>
    <xf numFmtId="0" fontId="4" fillId="5" borderId="1" xfId="0" applyFont="1" applyFill="1" applyBorder="1" applyAlignment="1">
      <alignment horizontal="center" wrapText="1"/>
    </xf>
    <xf numFmtId="0" fontId="4" fillId="7" borderId="1" xfId="0" applyFont="1" applyFill="1" applyBorder="1" applyAlignment="1">
      <alignment horizontal="center" wrapText="1"/>
    </xf>
    <xf numFmtId="0" fontId="7" fillId="0" borderId="0" xfId="0" applyFont="1" applyAlignment="1">
      <alignment wrapText="1"/>
    </xf>
    <xf numFmtId="0" fontId="13" fillId="0" borderId="1" xfId="0" applyFont="1" applyBorder="1" applyAlignment="1">
      <alignment horizontal="center"/>
    </xf>
    <xf numFmtId="0" fontId="13" fillId="0" borderId="1" xfId="0" applyFont="1" applyBorder="1" applyAlignment="1">
      <alignment horizontal="center" wrapText="1"/>
    </xf>
    <xf numFmtId="0" fontId="14" fillId="8" borderId="1" xfId="0" applyFont="1" applyFill="1" applyBorder="1" applyAlignment="1">
      <alignment horizontal="right"/>
    </xf>
    <xf numFmtId="0" fontId="14" fillId="8" borderId="1" xfId="0" applyFont="1" applyFill="1" applyBorder="1"/>
    <xf numFmtId="0" fontId="14" fillId="8" borderId="1" xfId="0" applyFont="1" applyFill="1" applyBorder="1" applyAlignment="1">
      <alignment wrapText="1"/>
    </xf>
    <xf numFmtId="0" fontId="6" fillId="8" borderId="1" xfId="0" applyFont="1" applyFill="1" applyBorder="1"/>
    <xf numFmtId="0" fontId="14" fillId="9" borderId="1" xfId="0" applyFont="1" applyFill="1" applyBorder="1" applyAlignment="1">
      <alignment horizontal="right"/>
    </xf>
    <xf numFmtId="0" fontId="14" fillId="9" borderId="1" xfId="0" applyFont="1" applyFill="1" applyBorder="1"/>
    <xf numFmtId="0" fontId="14" fillId="9" borderId="1" xfId="0" applyFont="1" applyFill="1" applyBorder="1" applyAlignment="1">
      <alignment wrapText="1"/>
    </xf>
    <xf numFmtId="0" fontId="6" fillId="9" borderId="1" xfId="0" applyFont="1" applyFill="1" applyBorder="1"/>
    <xf numFmtId="0" fontId="14" fillId="10" borderId="1" xfId="0" applyFont="1" applyFill="1" applyBorder="1" applyAlignment="1">
      <alignment horizontal="right"/>
    </xf>
    <xf numFmtId="0" fontId="14" fillId="10" borderId="1" xfId="0" applyFont="1" applyFill="1" applyBorder="1"/>
    <xf numFmtId="0" fontId="14" fillId="10" borderId="1" xfId="0" applyFont="1" applyFill="1" applyBorder="1" applyAlignment="1">
      <alignment wrapText="1"/>
    </xf>
    <xf numFmtId="0" fontId="6" fillId="10" borderId="1" xfId="0" applyFont="1" applyFill="1" applyBorder="1"/>
    <xf numFmtId="0" fontId="14" fillId="11" borderId="1" xfId="0" applyFont="1" applyFill="1" applyBorder="1" applyAlignment="1">
      <alignment horizontal="right"/>
    </xf>
    <xf numFmtId="0" fontId="14" fillId="11" borderId="1" xfId="0" applyFont="1" applyFill="1" applyBorder="1"/>
    <xf numFmtId="0" fontId="14" fillId="11" borderId="1" xfId="0" applyFont="1" applyFill="1" applyBorder="1" applyAlignment="1">
      <alignment wrapText="1"/>
    </xf>
    <xf numFmtId="0" fontId="6" fillId="11" borderId="1" xfId="0" applyFont="1" applyFill="1" applyBorder="1"/>
    <xf numFmtId="0" fontId="14" fillId="12" borderId="1" xfId="0" applyFont="1" applyFill="1" applyBorder="1" applyAlignment="1">
      <alignment horizontal="right"/>
    </xf>
    <xf numFmtId="0" fontId="14" fillId="12" borderId="1" xfId="0" applyFont="1" applyFill="1" applyBorder="1"/>
    <xf numFmtId="0" fontId="14" fillId="12" borderId="1" xfId="0" applyFont="1" applyFill="1" applyBorder="1" applyAlignment="1">
      <alignment wrapText="1"/>
    </xf>
    <xf numFmtId="0" fontId="6" fillId="12" borderId="1" xfId="0" applyFont="1" applyFill="1" applyBorder="1"/>
    <xf numFmtId="0" fontId="3" fillId="0" borderId="2" xfId="0" applyFont="1" applyBorder="1" applyAlignment="1">
      <alignment horizontal="center" vertical="center" wrapText="1"/>
    </xf>
    <xf numFmtId="0" fontId="4" fillId="0" borderId="2" xfId="0" applyFont="1" applyBorder="1" applyAlignment="1">
      <alignment horizontal="center" wrapText="1"/>
    </xf>
    <xf numFmtId="0" fontId="6" fillId="0" borderId="3" xfId="0" applyFont="1" applyBorder="1" applyAlignment="1">
      <alignment horizontal="center" vertical="center"/>
    </xf>
    <xf numFmtId="0" fontId="7" fillId="0" borderId="3"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64" fontId="1" fillId="0" borderId="5"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2" fillId="2" borderId="5" xfId="0" applyNumberFormat="1"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164" fontId="2" fillId="0" borderId="6" xfId="0" applyNumberFormat="1" applyFont="1" applyBorder="1" applyAlignment="1">
      <alignment horizontal="center" vertic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horizontal="center"/>
    </xf>
    <xf numFmtId="0" fontId="3" fillId="0" borderId="8" xfId="0" applyFont="1" applyBorder="1" applyAlignment="1">
      <alignment horizontal="center" vertical="center" wrapText="1"/>
    </xf>
    <xf numFmtId="0" fontId="7" fillId="0" borderId="8" xfId="0" applyFont="1" applyBorder="1" applyAlignment="1">
      <alignment horizontal="center" vertical="center"/>
    </xf>
    <xf numFmtId="0" fontId="4" fillId="2" borderId="8" xfId="0" applyFont="1" applyFill="1" applyBorder="1" applyAlignment="1">
      <alignment horizontal="center" vertical="center" wrapText="1"/>
    </xf>
    <xf numFmtId="0" fontId="7" fillId="3" borderId="8" xfId="0" applyFont="1" applyFill="1" applyBorder="1" applyAlignment="1">
      <alignment horizontal="center" vertical="center"/>
    </xf>
    <xf numFmtId="0" fontId="4" fillId="0" borderId="8" xfId="0" applyFont="1" applyBorder="1" applyAlignment="1">
      <alignment horizontal="center" vertical="center" wrapText="1"/>
    </xf>
    <xf numFmtId="0" fontId="7" fillId="0" borderId="9" xfId="0" applyFont="1" applyBorder="1" applyAlignment="1">
      <alignment horizontal="center" vertical="center"/>
    </xf>
  </cellXfs>
  <cellStyles count="1">
    <cellStyle name="Normal" xfId="0" builtinId="0"/>
  </cellStyles>
  <dxfs count="30">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rgb="FFCCCCCC"/>
          <bgColor rgb="FFCCCCCC"/>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rgb="FFCCCCCC"/>
          <bgColor rgb="FFCCCCCC"/>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rgb="FFCCCCCC"/>
          <bgColor rgb="FFCCCCCC"/>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rgb="FFCCCCCC"/>
          <bgColor rgb="FFCCCCCC"/>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25DC5-E88D-4E4C-827B-DC6F8820EE8A}" name="Table1" displayName="Table1" ref="A1:AB48" totalsRowShown="0" headerRowBorderDxfId="29" tableBorderDxfId="28" totalsRowBorderDxfId="27">
  <autoFilter ref="A1:AB48" xr:uid="{C0E25DC5-E88D-4E4C-827B-DC6F8820EE8A}"/>
  <tableColumns count="28">
    <tableColumn id="1" xr3:uid="{BCBE54C1-B384-4172-B2CF-8C8E765F2E88}" name="STT" dataDxfId="26">
      <calculatedColumnFormula>ROW()-1</calculatedColumnFormula>
    </tableColumn>
    <tableColumn id="2" xr3:uid="{1A321ADD-DCEC-45DA-B4D6-2F459D9569DD}" name="THỨ" dataDxfId="25"/>
    <tableColumn id="3" xr3:uid="{D40268ED-F66B-4FFD-9BD4-C140DF3D1A6F}" name="Giờ" dataDxfId="24"/>
    <tableColumn id="4" xr3:uid="{61262B07-5479-47B7-9DB1-DA515FCFF6CD}" name="Ngày" dataDxfId="23"/>
    <tableColumn id="5" xr3:uid="{710A1648-64FF-465E-A0DA-D58D6B89AC55}" name="Tháng" dataDxfId="22"/>
    <tableColumn id="6" xr3:uid="{2F411333-90C1-4F4D-93A9-12C44CB8AEE7}" name="Năm" dataDxfId="21"/>
    <tableColumn id="7" xr3:uid="{8147D6FD-4004-4FDB-BAED-F2C7FA57FE2B}" name="ĐƠN VỊ" dataDxfId="20"/>
    <tableColumn id="8" xr3:uid="{B05B6BBC-A362-4889-9384-6B4B63163D87}" name="NỘI DUNG/CHƯƠNG TRÌNH" dataDxfId="19"/>
    <tableColumn id="9" xr3:uid="{A8BCDCCB-E922-40AC-A762-E6CD159151ED}" name="BÁO CÁO VIÊN" dataDxfId="18"/>
    <tableColumn id="10" xr3:uid="{5A0E50C6-F078-4D40-9E94-7CA429BF70DB}" name="NGƯỜI PHỤ TRÁCH NỘI DUNG" dataDxfId="17"/>
    <tableColumn id="11" xr3:uid="{641F977A-249A-47EF-83EE-6E2D6D35C1AB}" name="ĐỐI TƯỢNG" dataDxfId="16"/>
    <tableColumn id="12" xr3:uid="{B6C4B4BF-D855-4345-95C3-4B338531F9FC}" name="ĐỊA ĐIỂM" dataDxfId="15"/>
    <tableColumn id="13" xr3:uid="{51423A0C-5CA1-414A-A29C-0F507A736BF0}" name="ĐẦU MỐI" dataDxfId="14"/>
    <tableColumn id="14" xr3:uid="{CFC51DCC-0EDA-4823-A0D4-AA22BED2629A}" name="LIÊN HỆ"/>
    <tableColumn id="15" xr3:uid="{9AAEDEAF-C66E-4399-841F-A0F45C0664ED}" name="Số học viên tham gia" dataDxfId="13"/>
    <tableColumn id="16" xr3:uid="{50454BD9-9F7B-4916-88D9-AB3A479F93C9}" name="Số Học viên đạt" dataDxfId="12"/>
    <tableColumn id="17" xr3:uid="{E8FEE0FF-A753-46B0-9F1F-0F5A27E028DA}" name="Số HV không đạt" dataDxfId="11"/>
    <tableColumn id="18" xr3:uid="{F2D67F65-A7C0-4CA6-8D76-812388698C38}" name="Đúng form post test điểm danh (ít nhất 10 câu): Có/Không" dataDxfId="10"/>
    <tableColumn id="19" xr3:uid="{3E61C8AF-3164-4D43-A080-2FC5242AB6BF}" name="Có bài post test" dataDxfId="9">
      <calculatedColumnFormula>IF(V2&gt;0,"Có","Không")</calculatedColumnFormula>
    </tableColumn>
    <tableColumn id="20" xr3:uid="{A8C0FBED-74D3-4806-AEBC-FABB5E5A1DEC}" name="Có bảng kiểm" dataDxfId="8">
      <calculatedColumnFormula>IF(W2&gt;0,"Có","Không")</calculatedColumnFormula>
    </tableColumn>
    <tableColumn id="21" xr3:uid="{A06FFEA3-6299-4DD4-BC6D-A2B540C6BCD9}" name="Có bài báo cáo" dataDxfId="7">
      <calculatedColumnFormula>IF(X2&gt;0,"Có","Không")</calculatedColumnFormula>
    </tableColumn>
    <tableColumn id="22" xr3:uid="{A8622C3E-08A2-496B-9C7C-159A1CFCE020}" name="Gắn link Điểm danh và post test" dataDxfId="6"/>
    <tableColumn id="23" xr3:uid="{5439F0F8-8D6E-461B-ACF2-BC487FF93941}" name="Gắn link bảng kiểm đào tạo nội bộ" dataDxfId="5"/>
    <tableColumn id="24" xr3:uid="{9A3254B9-AF16-4E00-81F2-6893A8BF5E41}" name="Gắn link bài báo cáo" dataDxfId="4"/>
    <tableColumn id="25" xr3:uid="{EA08B1ED-A670-417E-BAC2-056AB0121956}" name="Gắn link video buổi đào tạo" dataDxfId="3"/>
    <tableColumn id="26" xr3:uid="{F9617312-1FB9-4325-8F63-E6E0F5EED4E3}" name="Tình trạng thực hiện" dataDxfId="2">
      <calculatedColumnFormula>IF(COUNTA(V2:X2)&gt;0,"Thực hiện","Không thực hiện")</calculatedColumnFormula>
    </tableColumn>
    <tableColumn id="27" xr3:uid="{A0CE02F3-A706-4126-893E-5DE3CAA35F03}" name="Cập nhật calendar" dataDxfId="1">
      <calculatedColumnFormula>_xludf.TEXTJOIN(" | ",TRUE,
"Thứ: "&amp;B2,
"Thời gian: "&amp;D2&amp;", ngày "&amp;D2&amp;"/"&amp;E2,
"Đơn vị: "&amp;G2,
"Nội dung/Chương trình: "&amp;H2,
"Báo cáo viên: "&amp;I2,
"Người kiểm soát nội dung báo cáo: "&amp;K2,
"Đối tượng: "&amp;L2,
"Địa điểm: "&amp;M2,
"Đầu mối: "&amp;N2,
"Liên hệ: "&amp;O2)</calculatedColumnFormula>
    </tableColumn>
    <tableColumn id="28" xr3:uid="{FDD005D9-BC16-4879-8474-7510F3B8B144}"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9S1jDemlROV9WXiw1JieEuOhuoOnPX8A/view?usp=drive_link" TargetMode="External"/><Relationship Id="rId7" Type="http://schemas.openxmlformats.org/officeDocument/2006/relationships/table" Target="../tables/table1.xml"/><Relationship Id="rId2" Type="http://schemas.openxmlformats.org/officeDocument/2006/relationships/hyperlink" Target="https://drive.google.com/file/d/13HbCFlbzkVhxgh1K1BoBRlwOUceKRgRe/view?usp=drive_link" TargetMode="External"/><Relationship Id="rId1" Type="http://schemas.openxmlformats.org/officeDocument/2006/relationships/hyperlink" Target="https://docs.google.com/spreadsheets/d/1rNF46pn3qZsUbSrDqb1sswiBJhft8174/edit?usp=drive_link&amp;ouid=105979442922399428225&amp;rtpof=true&amp;sd=true" TargetMode="External"/><Relationship Id="rId6" Type="http://schemas.openxmlformats.org/officeDocument/2006/relationships/hyperlink" Target="https://drive.google.com/file/d/1klMybyaB-jUk04hLjc3bJS71osAf4zvD/view?usp=drive_link" TargetMode="External"/><Relationship Id="rId5" Type="http://schemas.openxmlformats.org/officeDocument/2006/relationships/hyperlink" Target="https://docs.google.com/document/d/1nOKvQmcnZ5W5RtUuMBJc-tx_HW37pzTN/edit?usp=drive_link&amp;ouid=105979442922399428225&amp;rtpof=true&amp;sd=true" TargetMode="External"/><Relationship Id="rId4" Type="http://schemas.openxmlformats.org/officeDocument/2006/relationships/hyperlink" Target="https://docs.google.com/spreadsheets/d/1UYY2OGDNscJSZuQ05gT7Tgp16jqZGDID/edit?usp=drive_link&amp;ouid=105979442922399428225&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969"/>
  <sheetViews>
    <sheetView tabSelected="1" workbookViewId="0">
      <pane xSplit="8" ySplit="1" topLeftCell="I2" activePane="bottomRight" state="frozen"/>
      <selection pane="topRight" activeCell="I1" sqref="I1"/>
      <selection pane="bottomLeft" activeCell="A2" sqref="A2"/>
      <selection pane="bottomRight" activeCell="G2" sqref="G2"/>
    </sheetView>
  </sheetViews>
  <sheetFormatPr defaultColWidth="14.42578125" defaultRowHeight="15" customHeight="1" x14ac:dyDescent="0.25"/>
  <cols>
    <col min="1" max="1" width="8.5703125" customWidth="1"/>
    <col min="2" max="2" width="9.42578125" customWidth="1"/>
    <col min="3" max="3" width="10" customWidth="1"/>
    <col min="4" max="4" width="8.28515625" customWidth="1"/>
    <col min="5" max="5" width="9.140625" customWidth="1"/>
    <col min="6" max="6" width="7.7109375" customWidth="1"/>
    <col min="7" max="7" width="14.5703125" customWidth="1"/>
    <col min="8" max="8" width="33.5703125" customWidth="1"/>
    <col min="9" max="9" width="19.5703125" customWidth="1"/>
    <col min="10" max="10" width="36.85546875" customWidth="1"/>
    <col min="11" max="11" width="20.85546875" customWidth="1"/>
    <col min="12" max="12" width="30.85546875" customWidth="1"/>
    <col min="13" max="13" width="27.85546875" customWidth="1"/>
    <col min="14" max="14" width="17.7109375" customWidth="1"/>
    <col min="15" max="15" width="24.7109375" customWidth="1"/>
    <col min="16" max="16" width="19.42578125" customWidth="1"/>
    <col min="17" max="17" width="20.5703125" customWidth="1"/>
    <col min="18" max="18" width="63.7109375" customWidth="1"/>
    <col min="19" max="19" width="19.42578125" customWidth="1"/>
    <col min="20" max="20" width="17.5703125" customWidth="1"/>
    <col min="21" max="21" width="18.42578125" customWidth="1"/>
    <col min="22" max="22" width="36.5703125" customWidth="1"/>
    <col min="23" max="23" width="39.140625" customWidth="1"/>
    <col min="24" max="24" width="24.7109375" customWidth="1"/>
    <col min="25" max="25" width="32.140625" customWidth="1"/>
    <col min="26" max="26" width="24.7109375" customWidth="1"/>
    <col min="27" max="27" width="35" customWidth="1"/>
    <col min="28" max="28" width="27.42578125" customWidth="1"/>
    <col min="29" max="38" width="8.7109375" customWidth="1"/>
  </cols>
  <sheetData>
    <row r="1" spans="1:28" ht="63.75" customHeight="1" x14ac:dyDescent="0.25">
      <c r="A1" s="48" t="s">
        <v>0</v>
      </c>
      <c r="B1" s="49" t="s">
        <v>1</v>
      </c>
      <c r="C1" s="49" t="s">
        <v>2</v>
      </c>
      <c r="D1" s="49" t="s">
        <v>3</v>
      </c>
      <c r="E1" s="49" t="s">
        <v>4</v>
      </c>
      <c r="F1" s="49" t="s">
        <v>5</v>
      </c>
      <c r="G1" s="49" t="s">
        <v>198</v>
      </c>
      <c r="H1" s="49" t="s">
        <v>6</v>
      </c>
      <c r="I1" s="49" t="s">
        <v>7</v>
      </c>
      <c r="J1" s="49" t="s">
        <v>8</v>
      </c>
      <c r="K1" s="49" t="s">
        <v>9</v>
      </c>
      <c r="L1" s="49" t="s">
        <v>10</v>
      </c>
      <c r="M1" s="49" t="s">
        <v>11</v>
      </c>
      <c r="N1" s="50" t="s">
        <v>12</v>
      </c>
      <c r="O1" s="51" t="s">
        <v>13</v>
      </c>
      <c r="P1" s="51" t="s">
        <v>14</v>
      </c>
      <c r="Q1" s="51" t="s">
        <v>15</v>
      </c>
      <c r="R1" s="51" t="s">
        <v>16</v>
      </c>
      <c r="S1" s="52" t="s">
        <v>17</v>
      </c>
      <c r="T1" s="52" t="s">
        <v>18</v>
      </c>
      <c r="U1" s="52" t="s">
        <v>19</v>
      </c>
      <c r="V1" s="53" t="s">
        <v>20</v>
      </c>
      <c r="W1" s="53" t="s">
        <v>21</v>
      </c>
      <c r="X1" s="53" t="s">
        <v>22</v>
      </c>
      <c r="Y1" s="53" t="s">
        <v>23</v>
      </c>
      <c r="Z1" s="52" t="s">
        <v>24</v>
      </c>
      <c r="AA1" s="51" t="s">
        <v>25</v>
      </c>
      <c r="AB1" s="54" t="s">
        <v>26</v>
      </c>
    </row>
    <row r="2" spans="1:28" ht="33" x14ac:dyDescent="0.25">
      <c r="A2" s="44">
        <v>1</v>
      </c>
      <c r="B2" s="1" t="s">
        <v>27</v>
      </c>
      <c r="C2" s="2" t="s">
        <v>28</v>
      </c>
      <c r="D2" s="1">
        <v>8</v>
      </c>
      <c r="E2" s="1">
        <v>1</v>
      </c>
      <c r="F2" s="1">
        <v>2026</v>
      </c>
      <c r="G2" s="1" t="s">
        <v>29</v>
      </c>
      <c r="H2" s="3" t="s">
        <v>30</v>
      </c>
      <c r="I2" s="1" t="s">
        <v>31</v>
      </c>
      <c r="J2" s="1" t="s">
        <v>31</v>
      </c>
      <c r="K2" s="1" t="s">
        <v>32</v>
      </c>
      <c r="L2" s="1" t="s">
        <v>33</v>
      </c>
      <c r="M2" s="1" t="s">
        <v>34</v>
      </c>
      <c r="N2" s="1">
        <v>385255667</v>
      </c>
      <c r="O2" s="2"/>
      <c r="P2" s="2"/>
      <c r="Q2" s="2"/>
      <c r="R2" s="2"/>
      <c r="S2" s="4" t="str">
        <f t="shared" ref="S2:U2" si="0">IF(V2&gt;0,"Có","Không")</f>
        <v>Không</v>
      </c>
      <c r="T2" s="4" t="str">
        <f t="shared" si="0"/>
        <v>Không</v>
      </c>
      <c r="U2" s="4" t="str">
        <f t="shared" si="0"/>
        <v>Không</v>
      </c>
      <c r="V2" s="5"/>
      <c r="W2" s="5"/>
      <c r="X2" s="5"/>
      <c r="Y2" s="6"/>
      <c r="Z2" s="4" t="str">
        <f t="shared" ref="Z2:Z16" si="1">IF(COUNTA(V2:X2)&gt;0,"Thực hiện","Không thực hiện")</f>
        <v>Không thực hiện</v>
      </c>
      <c r="AA2" s="2" t="e">
        <f t="shared" ref="AA2:AA48" ca="1" si="2">_xludf.TEXTJOIN(" | ",TRUE,
"Thứ: "&amp;B2,
"Thời gian: "&amp;D2&amp;", ngày "&amp;D2&amp;"/"&amp;E2,
"Đơn vị: "&amp;G2,
"Nội dung/Chương trình: "&amp;H2,
"Báo cáo viên: "&amp;I2,
"Người kiểm soát nội dung báo cáo: "&amp;K2,
"Đối tượng: "&amp;L2,
"Địa điểm: "&amp;M2,
"Đầu mối: "&amp;N2,
"Liên hệ: "&amp;O2)</f>
        <v>#NAME?</v>
      </c>
      <c r="AB2" s="46"/>
    </row>
    <row r="3" spans="1:28" ht="47.25" x14ac:dyDescent="0.25">
      <c r="A3" s="44">
        <v>2</v>
      </c>
      <c r="B3" s="1" t="s">
        <v>27</v>
      </c>
      <c r="C3" s="2" t="s">
        <v>35</v>
      </c>
      <c r="D3" s="1">
        <v>15</v>
      </c>
      <c r="E3" s="1">
        <v>1</v>
      </c>
      <c r="F3" s="1">
        <v>2026</v>
      </c>
      <c r="G3" s="1" t="s">
        <v>29</v>
      </c>
      <c r="H3" s="3" t="s">
        <v>36</v>
      </c>
      <c r="I3" s="1" t="s">
        <v>37</v>
      </c>
      <c r="J3" s="1" t="s">
        <v>37</v>
      </c>
      <c r="K3" s="1" t="s">
        <v>32</v>
      </c>
      <c r="L3" s="1" t="s">
        <v>33</v>
      </c>
      <c r="M3" s="1" t="s">
        <v>34</v>
      </c>
      <c r="N3" s="1">
        <v>385255667</v>
      </c>
      <c r="O3" s="7"/>
      <c r="P3" s="7"/>
      <c r="Q3" s="7"/>
      <c r="R3" s="7"/>
      <c r="S3" s="4" t="str">
        <f t="shared" ref="S3:U3" si="3">IF(V3&gt;0,"Có","Không")</f>
        <v>Không</v>
      </c>
      <c r="T3" s="4" t="str">
        <f t="shared" si="3"/>
        <v>Không</v>
      </c>
      <c r="U3" s="4" t="str">
        <f t="shared" si="3"/>
        <v>Không</v>
      </c>
      <c r="V3" s="8"/>
      <c r="W3" s="8"/>
      <c r="X3" s="8"/>
      <c r="Y3" s="8"/>
      <c r="Z3" s="4" t="str">
        <f t="shared" si="1"/>
        <v>Không thực hiện</v>
      </c>
      <c r="AA3" s="2" t="e">
        <f t="shared" ca="1" si="2"/>
        <v>#NAME?</v>
      </c>
      <c r="AB3" s="47"/>
    </row>
    <row r="4" spans="1:28" ht="33" x14ac:dyDescent="0.25">
      <c r="A4" s="44">
        <v>3</v>
      </c>
      <c r="B4" s="1" t="s">
        <v>27</v>
      </c>
      <c r="C4" s="2" t="s">
        <v>38</v>
      </c>
      <c r="D4" s="1">
        <v>22</v>
      </c>
      <c r="E4" s="1">
        <v>1</v>
      </c>
      <c r="F4" s="1">
        <v>2026</v>
      </c>
      <c r="G4" s="1" t="s">
        <v>29</v>
      </c>
      <c r="H4" s="3" t="s">
        <v>39</v>
      </c>
      <c r="I4" s="1" t="s">
        <v>40</v>
      </c>
      <c r="J4" s="1" t="s">
        <v>40</v>
      </c>
      <c r="K4" s="1" t="s">
        <v>32</v>
      </c>
      <c r="L4" s="1" t="s">
        <v>33</v>
      </c>
      <c r="M4" s="1" t="s">
        <v>34</v>
      </c>
      <c r="N4" s="1">
        <v>385255667</v>
      </c>
      <c r="O4" s="7"/>
      <c r="P4" s="7"/>
      <c r="Q4" s="7"/>
      <c r="R4" s="7"/>
      <c r="S4" s="4" t="str">
        <f t="shared" ref="S4:U4" si="4">IF(V4&gt;0,"Có","Không")</f>
        <v>Không</v>
      </c>
      <c r="T4" s="4" t="str">
        <f t="shared" si="4"/>
        <v>Không</v>
      </c>
      <c r="U4" s="4" t="str">
        <f t="shared" si="4"/>
        <v>Không</v>
      </c>
      <c r="V4" s="8"/>
      <c r="W4" s="8"/>
      <c r="X4" s="8"/>
      <c r="Y4" s="8"/>
      <c r="Z4" s="4" t="str">
        <f t="shared" si="1"/>
        <v>Không thực hiện</v>
      </c>
      <c r="AA4" s="2" t="e">
        <f t="shared" ca="1" si="2"/>
        <v>#NAME?</v>
      </c>
      <c r="AB4" s="47"/>
    </row>
    <row r="5" spans="1:28" ht="33" x14ac:dyDescent="0.25">
      <c r="A5" s="44">
        <v>4</v>
      </c>
      <c r="B5" s="1" t="s">
        <v>27</v>
      </c>
      <c r="C5" s="2" t="s">
        <v>41</v>
      </c>
      <c r="D5" s="9">
        <v>29</v>
      </c>
      <c r="E5" s="9">
        <v>1</v>
      </c>
      <c r="F5" s="1">
        <v>2026</v>
      </c>
      <c r="G5" s="1" t="s">
        <v>29</v>
      </c>
      <c r="H5" s="3" t="s">
        <v>42</v>
      </c>
      <c r="I5" s="9" t="s">
        <v>43</v>
      </c>
      <c r="J5" s="9" t="s">
        <v>43</v>
      </c>
      <c r="K5" s="1" t="s">
        <v>44</v>
      </c>
      <c r="L5" s="1" t="s">
        <v>33</v>
      </c>
      <c r="M5" s="1" t="s">
        <v>34</v>
      </c>
      <c r="N5" s="1">
        <v>385255667</v>
      </c>
      <c r="O5" s="7"/>
      <c r="P5" s="7"/>
      <c r="Q5" s="7"/>
      <c r="R5" s="7"/>
      <c r="S5" s="4" t="str">
        <f t="shared" ref="S5:U5" si="5">IF(V5&gt;0,"Có","Không")</f>
        <v>Không</v>
      </c>
      <c r="T5" s="4" t="str">
        <f t="shared" si="5"/>
        <v>Không</v>
      </c>
      <c r="U5" s="4" t="str">
        <f t="shared" si="5"/>
        <v>Không</v>
      </c>
      <c r="V5" s="8"/>
      <c r="W5" s="8"/>
      <c r="X5" s="8"/>
      <c r="Y5" s="8"/>
      <c r="Z5" s="4" t="str">
        <f t="shared" si="1"/>
        <v>Không thực hiện</v>
      </c>
      <c r="AA5" s="2" t="e">
        <f t="shared" ca="1" si="2"/>
        <v>#NAME?</v>
      </c>
      <c r="AB5" s="47"/>
    </row>
    <row r="6" spans="1:28" ht="47.25" x14ac:dyDescent="0.25">
      <c r="A6" s="44">
        <v>5</v>
      </c>
      <c r="B6" s="1" t="s">
        <v>27</v>
      </c>
      <c r="C6" s="2" t="s">
        <v>45</v>
      </c>
      <c r="D6" s="9">
        <v>5</v>
      </c>
      <c r="E6" s="9">
        <v>2</v>
      </c>
      <c r="F6" s="1">
        <v>2026</v>
      </c>
      <c r="G6" s="1" t="s">
        <v>29</v>
      </c>
      <c r="H6" s="3" t="s">
        <v>46</v>
      </c>
      <c r="I6" s="9" t="s">
        <v>47</v>
      </c>
      <c r="J6" s="9" t="s">
        <v>47</v>
      </c>
      <c r="K6" s="1" t="s">
        <v>32</v>
      </c>
      <c r="L6" s="1" t="s">
        <v>33</v>
      </c>
      <c r="M6" s="1" t="s">
        <v>34</v>
      </c>
      <c r="N6" s="1">
        <v>385255667</v>
      </c>
      <c r="O6" s="7"/>
      <c r="P6" s="7"/>
      <c r="Q6" s="7"/>
      <c r="R6" s="7"/>
      <c r="S6" s="4" t="str">
        <f t="shared" ref="S6:U6" si="6">IF(V6&gt;0,"Có","Không")</f>
        <v>Không</v>
      </c>
      <c r="T6" s="4" t="str">
        <f t="shared" si="6"/>
        <v>Không</v>
      </c>
      <c r="U6" s="4" t="str">
        <f t="shared" si="6"/>
        <v>Không</v>
      </c>
      <c r="V6" s="8"/>
      <c r="W6" s="8"/>
      <c r="X6" s="8"/>
      <c r="Y6" s="8"/>
      <c r="Z6" s="4" t="str">
        <f t="shared" si="1"/>
        <v>Không thực hiện</v>
      </c>
      <c r="AA6" s="2" t="e">
        <f t="shared" ca="1" si="2"/>
        <v>#NAME?</v>
      </c>
      <c r="AB6" s="47"/>
    </row>
    <row r="7" spans="1:28" ht="33" x14ac:dyDescent="0.25">
      <c r="A7" s="44">
        <v>6</v>
      </c>
      <c r="B7" s="1" t="s">
        <v>27</v>
      </c>
      <c r="C7" s="2" t="s">
        <v>48</v>
      </c>
      <c r="D7" s="9">
        <v>12</v>
      </c>
      <c r="E7" s="9">
        <v>2</v>
      </c>
      <c r="F7" s="1">
        <v>2026</v>
      </c>
      <c r="G7" s="1" t="s">
        <v>29</v>
      </c>
      <c r="H7" s="3" t="s">
        <v>49</v>
      </c>
      <c r="I7" s="9" t="s">
        <v>50</v>
      </c>
      <c r="J7" s="9" t="s">
        <v>50</v>
      </c>
      <c r="K7" s="1" t="s">
        <v>32</v>
      </c>
      <c r="L7" s="1" t="s">
        <v>33</v>
      </c>
      <c r="M7" s="1" t="s">
        <v>34</v>
      </c>
      <c r="N7" s="1">
        <v>385255667</v>
      </c>
      <c r="O7" s="7"/>
      <c r="P7" s="7"/>
      <c r="Q7" s="7"/>
      <c r="R7" s="7"/>
      <c r="S7" s="4" t="str">
        <f t="shared" ref="S7:U7" si="7">IF(V7&gt;0,"Có","Không")</f>
        <v>Không</v>
      </c>
      <c r="T7" s="4" t="str">
        <f t="shared" si="7"/>
        <v>Không</v>
      </c>
      <c r="U7" s="4" t="str">
        <f t="shared" si="7"/>
        <v>Không</v>
      </c>
      <c r="V7" s="8"/>
      <c r="W7" s="8"/>
      <c r="X7" s="8"/>
      <c r="Y7" s="8"/>
      <c r="Z7" s="4" t="str">
        <f t="shared" si="1"/>
        <v>Không thực hiện</v>
      </c>
      <c r="AA7" s="2" t="e">
        <f t="shared" ca="1" si="2"/>
        <v>#NAME?</v>
      </c>
      <c r="AB7" s="47"/>
    </row>
    <row r="8" spans="1:28" ht="47.25" x14ac:dyDescent="0.25">
      <c r="A8" s="44">
        <v>7</v>
      </c>
      <c r="B8" s="1" t="s">
        <v>27</v>
      </c>
      <c r="C8" s="2" t="s">
        <v>51</v>
      </c>
      <c r="D8" s="9">
        <v>26</v>
      </c>
      <c r="E8" s="9">
        <v>2</v>
      </c>
      <c r="F8" s="1">
        <v>2026</v>
      </c>
      <c r="G8" s="1" t="s">
        <v>29</v>
      </c>
      <c r="H8" s="1" t="s">
        <v>52</v>
      </c>
      <c r="I8" s="9" t="s">
        <v>53</v>
      </c>
      <c r="J8" s="9" t="s">
        <v>53</v>
      </c>
      <c r="K8" s="1" t="s">
        <v>32</v>
      </c>
      <c r="L8" s="1" t="s">
        <v>33</v>
      </c>
      <c r="M8" s="1" t="s">
        <v>34</v>
      </c>
      <c r="N8" s="1">
        <v>385255667</v>
      </c>
      <c r="O8" s="7"/>
      <c r="P8" s="7"/>
      <c r="Q8" s="7"/>
      <c r="R8" s="7"/>
      <c r="S8" s="4" t="str">
        <f t="shared" ref="S8:U8" si="8">IF(V8&gt;0,"Có","Không")</f>
        <v>Không</v>
      </c>
      <c r="T8" s="4" t="str">
        <f t="shared" si="8"/>
        <v>Không</v>
      </c>
      <c r="U8" s="4" t="str">
        <f t="shared" si="8"/>
        <v>Không</v>
      </c>
      <c r="V8" s="8"/>
      <c r="W8" s="8"/>
      <c r="X8" s="8"/>
      <c r="Y8" s="8"/>
      <c r="Z8" s="4" t="str">
        <f t="shared" si="1"/>
        <v>Không thực hiện</v>
      </c>
      <c r="AA8" s="2" t="e">
        <f t="shared" ca="1" si="2"/>
        <v>#NAME?</v>
      </c>
      <c r="AB8" s="47"/>
    </row>
    <row r="9" spans="1:28" ht="33" x14ac:dyDescent="0.25">
      <c r="A9" s="44">
        <v>8</v>
      </c>
      <c r="B9" s="1" t="s">
        <v>27</v>
      </c>
      <c r="C9" s="2" t="s">
        <v>54</v>
      </c>
      <c r="D9" s="9">
        <v>5</v>
      </c>
      <c r="E9" s="9">
        <v>3</v>
      </c>
      <c r="F9" s="1">
        <v>2026</v>
      </c>
      <c r="G9" s="1" t="s">
        <v>29</v>
      </c>
      <c r="H9" s="10" t="s">
        <v>55</v>
      </c>
      <c r="I9" s="9" t="s">
        <v>56</v>
      </c>
      <c r="J9" s="9" t="s">
        <v>56</v>
      </c>
      <c r="K9" s="1" t="s">
        <v>57</v>
      </c>
      <c r="L9" s="1" t="s">
        <v>33</v>
      </c>
      <c r="M9" s="1" t="s">
        <v>34</v>
      </c>
      <c r="N9" s="1">
        <v>385255667</v>
      </c>
      <c r="O9" s="7"/>
      <c r="P9" s="7"/>
      <c r="Q9" s="7"/>
      <c r="R9" s="7"/>
      <c r="S9" s="4" t="str">
        <f t="shared" ref="S9:U9" si="9">IF(V9&gt;0,"Có","Không")</f>
        <v>Không</v>
      </c>
      <c r="T9" s="4" t="str">
        <f t="shared" si="9"/>
        <v>Không</v>
      </c>
      <c r="U9" s="4" t="str">
        <f t="shared" si="9"/>
        <v>Không</v>
      </c>
      <c r="V9" s="8"/>
      <c r="W9" s="8"/>
      <c r="X9" s="8"/>
      <c r="Y9" s="8"/>
      <c r="Z9" s="4" t="str">
        <f t="shared" si="1"/>
        <v>Không thực hiện</v>
      </c>
      <c r="AA9" s="2" t="e">
        <f t="shared" ca="1" si="2"/>
        <v>#NAME?</v>
      </c>
      <c r="AB9" s="47"/>
    </row>
    <row r="10" spans="1:28" ht="33" x14ac:dyDescent="0.25">
      <c r="A10" s="44">
        <v>9</v>
      </c>
      <c r="B10" s="1" t="s">
        <v>27</v>
      </c>
      <c r="C10" s="2" t="s">
        <v>58</v>
      </c>
      <c r="D10" s="9">
        <v>12</v>
      </c>
      <c r="E10" s="9">
        <v>3</v>
      </c>
      <c r="F10" s="1">
        <v>2026</v>
      </c>
      <c r="G10" s="1" t="s">
        <v>29</v>
      </c>
      <c r="H10" s="1" t="s">
        <v>59</v>
      </c>
      <c r="I10" s="9" t="s">
        <v>60</v>
      </c>
      <c r="J10" s="9" t="s">
        <v>60</v>
      </c>
      <c r="K10" s="1" t="s">
        <v>32</v>
      </c>
      <c r="L10" s="1" t="s">
        <v>33</v>
      </c>
      <c r="M10" s="1" t="s">
        <v>34</v>
      </c>
      <c r="N10" s="1">
        <v>385255667</v>
      </c>
      <c r="O10" s="7"/>
      <c r="P10" s="7"/>
      <c r="Q10" s="7"/>
      <c r="R10" s="7"/>
      <c r="S10" s="4" t="str">
        <f t="shared" ref="S10:U10" si="10">IF(V10&gt;0,"Có","Không")</f>
        <v>Không</v>
      </c>
      <c r="T10" s="4" t="str">
        <f t="shared" si="10"/>
        <v>Không</v>
      </c>
      <c r="U10" s="4" t="str">
        <f t="shared" si="10"/>
        <v>Không</v>
      </c>
      <c r="V10" s="8"/>
      <c r="W10" s="8"/>
      <c r="X10" s="8"/>
      <c r="Y10" s="8"/>
      <c r="Z10" s="4" t="str">
        <f t="shared" si="1"/>
        <v>Không thực hiện</v>
      </c>
      <c r="AA10" s="2" t="e">
        <f t="shared" ca="1" si="2"/>
        <v>#NAME?</v>
      </c>
      <c r="AB10" s="47"/>
    </row>
    <row r="11" spans="1:28" ht="33" x14ac:dyDescent="0.25">
      <c r="A11" s="44">
        <v>10</v>
      </c>
      <c r="B11" s="1" t="s">
        <v>27</v>
      </c>
      <c r="C11" s="2" t="s">
        <v>61</v>
      </c>
      <c r="D11" s="9">
        <v>19</v>
      </c>
      <c r="E11" s="9">
        <v>3</v>
      </c>
      <c r="F11" s="1">
        <v>2026</v>
      </c>
      <c r="G11" s="1" t="s">
        <v>29</v>
      </c>
      <c r="H11" s="1" t="s">
        <v>62</v>
      </c>
      <c r="I11" s="9" t="s">
        <v>63</v>
      </c>
      <c r="J11" s="9" t="s">
        <v>63</v>
      </c>
      <c r="K11" s="1" t="s">
        <v>32</v>
      </c>
      <c r="L11" s="1" t="s">
        <v>33</v>
      </c>
      <c r="M11" s="1" t="s">
        <v>34</v>
      </c>
      <c r="N11" s="1">
        <v>385255667</v>
      </c>
      <c r="O11" s="7"/>
      <c r="P11" s="7"/>
      <c r="Q11" s="7"/>
      <c r="R11" s="7"/>
      <c r="S11" s="4" t="str">
        <f t="shared" ref="S11:U11" si="11">IF(V11&gt;0,"Có","Không")</f>
        <v>Không</v>
      </c>
      <c r="T11" s="4" t="str">
        <f t="shared" si="11"/>
        <v>Không</v>
      </c>
      <c r="U11" s="4" t="str">
        <f t="shared" si="11"/>
        <v>Không</v>
      </c>
      <c r="V11" s="8"/>
      <c r="W11" s="8"/>
      <c r="X11" s="8"/>
      <c r="Y11" s="8"/>
      <c r="Z11" s="4" t="str">
        <f t="shared" si="1"/>
        <v>Không thực hiện</v>
      </c>
      <c r="AA11" s="2" t="e">
        <f t="shared" ca="1" si="2"/>
        <v>#NAME?</v>
      </c>
      <c r="AB11" s="47"/>
    </row>
    <row r="12" spans="1:28" ht="33" x14ac:dyDescent="0.25">
      <c r="A12" s="44">
        <v>11</v>
      </c>
      <c r="B12" s="1" t="s">
        <v>27</v>
      </c>
      <c r="C12" s="2" t="s">
        <v>64</v>
      </c>
      <c r="D12" s="9">
        <v>26</v>
      </c>
      <c r="E12" s="9">
        <v>3</v>
      </c>
      <c r="F12" s="1">
        <v>2026</v>
      </c>
      <c r="G12" s="1" t="s">
        <v>29</v>
      </c>
      <c r="H12" s="1" t="s">
        <v>65</v>
      </c>
      <c r="I12" s="9" t="s">
        <v>66</v>
      </c>
      <c r="J12" s="9" t="s">
        <v>66</v>
      </c>
      <c r="K12" s="1" t="s">
        <v>32</v>
      </c>
      <c r="L12" s="1" t="s">
        <v>33</v>
      </c>
      <c r="M12" s="1" t="s">
        <v>34</v>
      </c>
      <c r="N12" s="1">
        <v>385255667</v>
      </c>
      <c r="O12" s="7"/>
      <c r="P12" s="7"/>
      <c r="Q12" s="7"/>
      <c r="R12" s="7"/>
      <c r="S12" s="4" t="str">
        <f t="shared" ref="S12:U12" si="12">IF(V12&gt;0,"Có","Không")</f>
        <v>Không</v>
      </c>
      <c r="T12" s="4" t="str">
        <f t="shared" si="12"/>
        <v>Không</v>
      </c>
      <c r="U12" s="4" t="str">
        <f t="shared" si="12"/>
        <v>Không</v>
      </c>
      <c r="V12" s="8"/>
      <c r="W12" s="8"/>
      <c r="X12" s="8"/>
      <c r="Y12" s="8"/>
      <c r="Z12" s="4" t="str">
        <f t="shared" si="1"/>
        <v>Không thực hiện</v>
      </c>
      <c r="AA12" s="2" t="e">
        <f t="shared" ca="1" si="2"/>
        <v>#NAME?</v>
      </c>
      <c r="AB12" s="47"/>
    </row>
    <row r="13" spans="1:28" ht="33" x14ac:dyDescent="0.25">
      <c r="A13" s="44">
        <v>12</v>
      </c>
      <c r="B13" s="1" t="s">
        <v>27</v>
      </c>
      <c r="C13" s="2" t="s">
        <v>67</v>
      </c>
      <c r="D13" s="9">
        <v>2</v>
      </c>
      <c r="E13" s="9">
        <v>4</v>
      </c>
      <c r="F13" s="1">
        <v>2026</v>
      </c>
      <c r="G13" s="1" t="s">
        <v>29</v>
      </c>
      <c r="H13" s="1" t="s">
        <v>68</v>
      </c>
      <c r="I13" s="1" t="s">
        <v>31</v>
      </c>
      <c r="J13" s="1" t="s">
        <v>31</v>
      </c>
      <c r="K13" s="1" t="s">
        <v>32</v>
      </c>
      <c r="L13" s="1" t="s">
        <v>33</v>
      </c>
      <c r="M13" s="1" t="s">
        <v>34</v>
      </c>
      <c r="N13" s="1">
        <v>385255667</v>
      </c>
      <c r="O13" s="7"/>
      <c r="P13" s="7"/>
      <c r="Q13" s="7"/>
      <c r="R13" s="7"/>
      <c r="S13" s="4" t="str">
        <f t="shared" ref="S13:U13" si="13">IF(V13&gt;0,"Có","Không")</f>
        <v>Không</v>
      </c>
      <c r="T13" s="4" t="str">
        <f t="shared" si="13"/>
        <v>Không</v>
      </c>
      <c r="U13" s="4" t="str">
        <f t="shared" si="13"/>
        <v>Không</v>
      </c>
      <c r="V13" s="8"/>
      <c r="W13" s="8"/>
      <c r="X13" s="8"/>
      <c r="Y13" s="8"/>
      <c r="Z13" s="4" t="str">
        <f t="shared" si="1"/>
        <v>Không thực hiện</v>
      </c>
      <c r="AA13" s="2" t="e">
        <f t="shared" ca="1" si="2"/>
        <v>#NAME?</v>
      </c>
      <c r="AB13" s="47"/>
    </row>
    <row r="14" spans="1:28" ht="33" x14ac:dyDescent="0.25">
      <c r="A14" s="44">
        <v>13</v>
      </c>
      <c r="B14" s="1" t="s">
        <v>27</v>
      </c>
      <c r="C14" s="2" t="s">
        <v>69</v>
      </c>
      <c r="D14" s="9">
        <v>9</v>
      </c>
      <c r="E14" s="9">
        <v>4</v>
      </c>
      <c r="F14" s="1">
        <v>2026</v>
      </c>
      <c r="G14" s="1" t="s">
        <v>29</v>
      </c>
      <c r="H14" s="11" t="s">
        <v>70</v>
      </c>
      <c r="I14" s="9" t="s">
        <v>71</v>
      </c>
      <c r="J14" s="9" t="s">
        <v>71</v>
      </c>
      <c r="K14" s="1" t="s">
        <v>44</v>
      </c>
      <c r="L14" s="1" t="s">
        <v>33</v>
      </c>
      <c r="M14" s="1" t="s">
        <v>34</v>
      </c>
      <c r="N14" s="1">
        <v>385255667</v>
      </c>
      <c r="O14" s="7"/>
      <c r="P14" s="7"/>
      <c r="Q14" s="7"/>
      <c r="R14" s="7"/>
      <c r="S14" s="4" t="str">
        <f t="shared" ref="S14:U14" si="14">IF(V14&gt;0,"Có","Không")</f>
        <v>Không</v>
      </c>
      <c r="T14" s="4" t="str">
        <f t="shared" si="14"/>
        <v>Không</v>
      </c>
      <c r="U14" s="4" t="str">
        <f t="shared" si="14"/>
        <v>Không</v>
      </c>
      <c r="V14" s="8"/>
      <c r="W14" s="8"/>
      <c r="X14" s="8"/>
      <c r="Y14" s="8"/>
      <c r="Z14" s="4" t="str">
        <f t="shared" si="1"/>
        <v>Không thực hiện</v>
      </c>
      <c r="AA14" s="2" t="e">
        <f t="shared" ca="1" si="2"/>
        <v>#NAME?</v>
      </c>
      <c r="AB14" s="47"/>
    </row>
    <row r="15" spans="1:28" ht="33" x14ac:dyDescent="0.25">
      <c r="A15" s="44">
        <v>14</v>
      </c>
      <c r="B15" s="1" t="s">
        <v>27</v>
      </c>
      <c r="C15" s="2" t="s">
        <v>72</v>
      </c>
      <c r="D15" s="9">
        <v>16</v>
      </c>
      <c r="E15" s="9">
        <v>4</v>
      </c>
      <c r="F15" s="1">
        <v>2026</v>
      </c>
      <c r="G15" s="1" t="s">
        <v>29</v>
      </c>
      <c r="H15" s="3" t="s">
        <v>73</v>
      </c>
      <c r="I15" s="1" t="s">
        <v>37</v>
      </c>
      <c r="J15" s="1" t="s">
        <v>37</v>
      </c>
      <c r="K15" s="1" t="s">
        <v>32</v>
      </c>
      <c r="L15" s="1" t="s">
        <v>33</v>
      </c>
      <c r="M15" s="1" t="s">
        <v>34</v>
      </c>
      <c r="N15" s="1">
        <v>385255667</v>
      </c>
      <c r="O15" s="7"/>
      <c r="P15" s="7"/>
      <c r="Q15" s="7"/>
      <c r="R15" s="7"/>
      <c r="S15" s="4" t="str">
        <f t="shared" ref="S15:U15" si="15">IF(V15&gt;0,"Có","Không")</f>
        <v>Không</v>
      </c>
      <c r="T15" s="4" t="str">
        <f t="shared" si="15"/>
        <v>Không</v>
      </c>
      <c r="U15" s="4" t="str">
        <f t="shared" si="15"/>
        <v>Không</v>
      </c>
      <c r="V15" s="8"/>
      <c r="W15" s="8"/>
      <c r="X15" s="8"/>
      <c r="Y15" s="8"/>
      <c r="Z15" s="4" t="str">
        <f t="shared" si="1"/>
        <v>Không thực hiện</v>
      </c>
      <c r="AA15" s="2" t="e">
        <f t="shared" ca="1" si="2"/>
        <v>#NAME?</v>
      </c>
      <c r="AB15" s="47"/>
    </row>
    <row r="16" spans="1:28" ht="33" x14ac:dyDescent="0.25">
      <c r="A16" s="44">
        <v>15</v>
      </c>
      <c r="B16" s="1" t="s">
        <v>27</v>
      </c>
      <c r="C16" s="2" t="s">
        <v>74</v>
      </c>
      <c r="D16" s="9">
        <v>23</v>
      </c>
      <c r="E16" s="9">
        <v>4</v>
      </c>
      <c r="F16" s="1">
        <v>2026</v>
      </c>
      <c r="G16" s="1" t="s">
        <v>29</v>
      </c>
      <c r="H16" s="3" t="s">
        <v>75</v>
      </c>
      <c r="I16" s="1" t="s">
        <v>40</v>
      </c>
      <c r="J16" s="1" t="s">
        <v>40</v>
      </c>
      <c r="K16" s="1" t="s">
        <v>32</v>
      </c>
      <c r="L16" s="1" t="s">
        <v>33</v>
      </c>
      <c r="M16" s="1" t="s">
        <v>34</v>
      </c>
      <c r="N16" s="1">
        <v>385255667</v>
      </c>
      <c r="O16" s="7"/>
      <c r="P16" s="7"/>
      <c r="Q16" s="7"/>
      <c r="R16" s="7"/>
      <c r="S16" s="4" t="str">
        <f t="shared" ref="S16:U16" si="16">IF(V16&gt;0,"Có","Không")</f>
        <v>Không</v>
      </c>
      <c r="T16" s="4" t="str">
        <f t="shared" si="16"/>
        <v>Không</v>
      </c>
      <c r="U16" s="4" t="str">
        <f t="shared" si="16"/>
        <v>Không</v>
      </c>
      <c r="V16" s="8"/>
      <c r="W16" s="8"/>
      <c r="X16" s="8"/>
      <c r="Y16" s="8"/>
      <c r="Z16" s="4" t="str">
        <f t="shared" si="1"/>
        <v>Không thực hiện</v>
      </c>
      <c r="AA16" s="2" t="e">
        <f t="shared" ca="1" si="2"/>
        <v>#NAME?</v>
      </c>
      <c r="AB16" s="47"/>
    </row>
    <row r="17" spans="1:38" ht="47.25" x14ac:dyDescent="0.25">
      <c r="A17" s="44">
        <v>16</v>
      </c>
      <c r="B17" s="1" t="s">
        <v>27</v>
      </c>
      <c r="C17" s="2" t="s">
        <v>76</v>
      </c>
      <c r="D17" s="9">
        <v>7</v>
      </c>
      <c r="E17" s="9">
        <v>5</v>
      </c>
      <c r="F17" s="1">
        <v>2026</v>
      </c>
      <c r="G17" s="1" t="s">
        <v>29</v>
      </c>
      <c r="H17" s="10" t="s">
        <v>77</v>
      </c>
      <c r="I17" s="9" t="s">
        <v>47</v>
      </c>
      <c r="J17" s="9" t="s">
        <v>47</v>
      </c>
      <c r="K17" s="1" t="s">
        <v>32</v>
      </c>
      <c r="L17" s="1" t="s">
        <v>33</v>
      </c>
      <c r="M17" s="1" t="s">
        <v>34</v>
      </c>
      <c r="N17" s="1">
        <v>385255667</v>
      </c>
      <c r="O17" s="7">
        <v>21</v>
      </c>
      <c r="P17" s="7">
        <v>21</v>
      </c>
      <c r="Q17" s="7">
        <v>0</v>
      </c>
      <c r="R17" s="7" t="s">
        <v>78</v>
      </c>
      <c r="S17" s="4" t="str">
        <f t="shared" ref="S17:U17" si="17">IF(V17&gt;0,"Có","Không")</f>
        <v>Có</v>
      </c>
      <c r="T17" s="4" t="str">
        <f t="shared" si="17"/>
        <v>Có</v>
      </c>
      <c r="U17" s="4" t="str">
        <f t="shared" si="17"/>
        <v>Có</v>
      </c>
      <c r="V17" s="12" t="s">
        <v>79</v>
      </c>
      <c r="W17" s="13" t="s">
        <v>80</v>
      </c>
      <c r="X17" s="12" t="s">
        <v>81</v>
      </c>
      <c r="Y17" s="8"/>
      <c r="Z17" s="4" t="s">
        <v>82</v>
      </c>
      <c r="AA17" s="2" t="e">
        <f t="shared" ca="1" si="2"/>
        <v>#NAME?</v>
      </c>
      <c r="AB17" s="47"/>
    </row>
    <row r="18" spans="1:38" ht="33" x14ac:dyDescent="0.25">
      <c r="A18" s="44">
        <v>17</v>
      </c>
      <c r="B18" s="1" t="s">
        <v>27</v>
      </c>
      <c r="C18" s="2" t="s">
        <v>83</v>
      </c>
      <c r="D18" s="9">
        <v>14</v>
      </c>
      <c r="E18" s="9">
        <v>5</v>
      </c>
      <c r="F18" s="1">
        <v>2026</v>
      </c>
      <c r="G18" s="1" t="s">
        <v>29</v>
      </c>
      <c r="H18" s="3" t="s">
        <v>84</v>
      </c>
      <c r="I18" s="9" t="s">
        <v>85</v>
      </c>
      <c r="J18" s="9" t="s">
        <v>85</v>
      </c>
      <c r="K18" s="1" t="s">
        <v>32</v>
      </c>
      <c r="L18" s="1" t="s">
        <v>33</v>
      </c>
      <c r="M18" s="1" t="s">
        <v>34</v>
      </c>
      <c r="N18" s="1">
        <v>385255667</v>
      </c>
      <c r="O18" s="7">
        <v>24</v>
      </c>
      <c r="P18" s="7">
        <v>24</v>
      </c>
      <c r="Q18" s="7">
        <v>0</v>
      </c>
      <c r="R18" s="7" t="s">
        <v>86</v>
      </c>
      <c r="S18" s="4" t="str">
        <f t="shared" ref="S18:U18" si="18">IF(V18&gt;0,"Có","Không")</f>
        <v>Có</v>
      </c>
      <c r="T18" s="4" t="str">
        <f t="shared" si="18"/>
        <v>Có</v>
      </c>
      <c r="U18" s="4" t="str">
        <f t="shared" si="18"/>
        <v>Có</v>
      </c>
      <c r="V18" s="12" t="s">
        <v>87</v>
      </c>
      <c r="W18" s="12" t="s">
        <v>88</v>
      </c>
      <c r="X18" s="12" t="s">
        <v>89</v>
      </c>
      <c r="Y18" s="8"/>
      <c r="Z18" s="4" t="str">
        <f t="shared" ref="Z18:Z48" si="19">IF(COUNTA(V18:X18)&gt;0,"Thực hiện","Không thực hiện")</f>
        <v>Thực hiện</v>
      </c>
      <c r="AA18" s="2" t="e">
        <f t="shared" ca="1" si="2"/>
        <v>#NAME?</v>
      </c>
      <c r="AB18" s="47"/>
    </row>
    <row r="19" spans="1:38" ht="33" x14ac:dyDescent="0.25">
      <c r="A19" s="44">
        <v>18</v>
      </c>
      <c r="B19" s="1" t="s">
        <v>27</v>
      </c>
      <c r="C19" s="2" t="s">
        <v>90</v>
      </c>
      <c r="D19" s="9">
        <v>21</v>
      </c>
      <c r="E19" s="9">
        <v>5</v>
      </c>
      <c r="F19" s="1">
        <v>2026</v>
      </c>
      <c r="G19" s="1" t="s">
        <v>29</v>
      </c>
      <c r="H19" s="3" t="s">
        <v>91</v>
      </c>
      <c r="I19" s="9" t="s">
        <v>92</v>
      </c>
      <c r="J19" s="9" t="s">
        <v>92</v>
      </c>
      <c r="K19" s="1" t="s">
        <v>44</v>
      </c>
      <c r="L19" s="1" t="s">
        <v>33</v>
      </c>
      <c r="M19" s="1" t="s">
        <v>34</v>
      </c>
      <c r="N19" s="1">
        <v>385255667</v>
      </c>
      <c r="O19" s="7"/>
      <c r="P19" s="7"/>
      <c r="Q19" s="7"/>
      <c r="R19" s="7"/>
      <c r="S19" s="4" t="str">
        <f t="shared" ref="S19:U19" si="20">IF(V19&gt;0,"Có","Không")</f>
        <v>Không</v>
      </c>
      <c r="T19" s="4" t="str">
        <f t="shared" si="20"/>
        <v>Không</v>
      </c>
      <c r="U19" s="4" t="str">
        <f t="shared" si="20"/>
        <v>Không</v>
      </c>
      <c r="V19" s="8"/>
      <c r="W19" s="8"/>
      <c r="X19" s="8"/>
      <c r="Y19" s="8"/>
      <c r="Z19" s="4" t="str">
        <f t="shared" si="19"/>
        <v>Không thực hiện</v>
      </c>
      <c r="AA19" s="2" t="e">
        <f t="shared" ca="1" si="2"/>
        <v>#NAME?</v>
      </c>
      <c r="AB19" s="47"/>
    </row>
    <row r="20" spans="1:38" ht="33" x14ac:dyDescent="0.25">
      <c r="A20" s="44">
        <v>19</v>
      </c>
      <c r="B20" s="1" t="s">
        <v>27</v>
      </c>
      <c r="C20" s="2" t="s">
        <v>93</v>
      </c>
      <c r="D20" s="9">
        <v>28</v>
      </c>
      <c r="E20" s="9">
        <v>5</v>
      </c>
      <c r="F20" s="1">
        <v>2026</v>
      </c>
      <c r="G20" s="1" t="s">
        <v>29</v>
      </c>
      <c r="H20" s="3" t="s">
        <v>94</v>
      </c>
      <c r="I20" s="9" t="s">
        <v>53</v>
      </c>
      <c r="J20" s="9" t="s">
        <v>53</v>
      </c>
      <c r="K20" s="1" t="s">
        <v>32</v>
      </c>
      <c r="L20" s="1" t="s">
        <v>33</v>
      </c>
      <c r="M20" s="1" t="s">
        <v>34</v>
      </c>
      <c r="N20" s="1">
        <v>385255667</v>
      </c>
      <c r="O20" s="7"/>
      <c r="P20" s="7"/>
      <c r="Q20" s="7"/>
      <c r="R20" s="7"/>
      <c r="S20" s="4" t="str">
        <f t="shared" ref="S20:U20" si="21">IF(V20&gt;0,"Có","Không")</f>
        <v>Không</v>
      </c>
      <c r="T20" s="4" t="str">
        <f t="shared" si="21"/>
        <v>Không</v>
      </c>
      <c r="U20" s="4" t="str">
        <f t="shared" si="21"/>
        <v>Không</v>
      </c>
      <c r="V20" s="8"/>
      <c r="W20" s="8"/>
      <c r="X20" s="8"/>
      <c r="Y20" s="8"/>
      <c r="Z20" s="4" t="str">
        <f t="shared" si="19"/>
        <v>Không thực hiện</v>
      </c>
      <c r="AA20" s="2" t="e">
        <f t="shared" ca="1" si="2"/>
        <v>#NAME?</v>
      </c>
      <c r="AB20" s="47"/>
    </row>
    <row r="21" spans="1:38" ht="33" x14ac:dyDescent="0.25">
      <c r="A21" s="44">
        <v>20</v>
      </c>
      <c r="B21" s="1" t="s">
        <v>27</v>
      </c>
      <c r="C21" s="2" t="s">
        <v>95</v>
      </c>
      <c r="D21" s="9">
        <v>4</v>
      </c>
      <c r="E21" s="9">
        <v>6</v>
      </c>
      <c r="F21" s="1">
        <v>2026</v>
      </c>
      <c r="G21" s="1" t="s">
        <v>29</v>
      </c>
      <c r="H21" s="3" t="s">
        <v>96</v>
      </c>
      <c r="I21" s="9" t="s">
        <v>60</v>
      </c>
      <c r="J21" s="9" t="s">
        <v>60</v>
      </c>
      <c r="K21" s="1" t="s">
        <v>32</v>
      </c>
      <c r="L21" s="1" t="s">
        <v>33</v>
      </c>
      <c r="M21" s="1" t="s">
        <v>34</v>
      </c>
      <c r="N21" s="1">
        <v>385255667</v>
      </c>
      <c r="O21" s="7"/>
      <c r="P21" s="7"/>
      <c r="Q21" s="7"/>
      <c r="R21" s="7"/>
      <c r="S21" s="4" t="str">
        <f t="shared" ref="S21:U21" si="22">IF(V21&gt;0,"Có","Không")</f>
        <v>Không</v>
      </c>
      <c r="T21" s="4" t="str">
        <f t="shared" si="22"/>
        <v>Không</v>
      </c>
      <c r="U21" s="4" t="str">
        <f t="shared" si="22"/>
        <v>Không</v>
      </c>
      <c r="V21" s="8"/>
      <c r="W21" s="8"/>
      <c r="X21" s="8"/>
      <c r="Y21" s="8"/>
      <c r="Z21" s="4" t="str">
        <f t="shared" si="19"/>
        <v>Không thực hiện</v>
      </c>
      <c r="AA21" s="2" t="e">
        <f t="shared" ca="1" si="2"/>
        <v>#NAME?</v>
      </c>
      <c r="AB21" s="47"/>
    </row>
    <row r="22" spans="1:38" ht="47.25" x14ac:dyDescent="0.25">
      <c r="A22" s="44">
        <v>21</v>
      </c>
      <c r="B22" s="1" t="s">
        <v>27</v>
      </c>
      <c r="C22" s="2" t="s">
        <v>97</v>
      </c>
      <c r="D22" s="9">
        <v>11</v>
      </c>
      <c r="E22" s="9">
        <v>6</v>
      </c>
      <c r="F22" s="1">
        <v>2026</v>
      </c>
      <c r="G22" s="1" t="s">
        <v>29</v>
      </c>
      <c r="H22" s="3" t="s">
        <v>98</v>
      </c>
      <c r="I22" s="9" t="s">
        <v>63</v>
      </c>
      <c r="J22" s="9" t="s">
        <v>63</v>
      </c>
      <c r="K22" s="1" t="s">
        <v>32</v>
      </c>
      <c r="L22" s="1" t="s">
        <v>33</v>
      </c>
      <c r="M22" s="1" t="s">
        <v>34</v>
      </c>
      <c r="N22" s="1">
        <v>385255667</v>
      </c>
      <c r="O22" s="7"/>
      <c r="P22" s="7"/>
      <c r="Q22" s="7"/>
      <c r="R22" s="7"/>
      <c r="S22" s="4" t="str">
        <f t="shared" ref="S22:U22" si="23">IF(V22&gt;0,"Có","Không")</f>
        <v>Không</v>
      </c>
      <c r="T22" s="4" t="str">
        <f t="shared" si="23"/>
        <v>Không</v>
      </c>
      <c r="U22" s="4" t="str">
        <f t="shared" si="23"/>
        <v>Không</v>
      </c>
      <c r="V22" s="8"/>
      <c r="W22" s="8"/>
      <c r="X22" s="8"/>
      <c r="Y22" s="8"/>
      <c r="Z22" s="4" t="str">
        <f t="shared" si="19"/>
        <v>Không thực hiện</v>
      </c>
      <c r="AA22" s="2" t="e">
        <f t="shared" ca="1" si="2"/>
        <v>#NAME?</v>
      </c>
      <c r="AB22" s="47"/>
    </row>
    <row r="23" spans="1:38" ht="33" x14ac:dyDescent="0.25">
      <c r="A23" s="44">
        <v>22</v>
      </c>
      <c r="B23" s="1" t="s">
        <v>27</v>
      </c>
      <c r="C23" s="2" t="s">
        <v>99</v>
      </c>
      <c r="D23" s="9">
        <v>18</v>
      </c>
      <c r="E23" s="9">
        <v>6</v>
      </c>
      <c r="F23" s="1">
        <v>2026</v>
      </c>
      <c r="G23" s="1" t="s">
        <v>29</v>
      </c>
      <c r="H23" s="10" t="s">
        <v>100</v>
      </c>
      <c r="I23" s="9" t="s">
        <v>66</v>
      </c>
      <c r="J23" s="9" t="s">
        <v>66</v>
      </c>
      <c r="K23" s="1" t="s">
        <v>32</v>
      </c>
      <c r="L23" s="1" t="s">
        <v>33</v>
      </c>
      <c r="M23" s="1" t="s">
        <v>34</v>
      </c>
      <c r="N23" s="1">
        <v>385255667</v>
      </c>
      <c r="O23" s="7"/>
      <c r="P23" s="7"/>
      <c r="Q23" s="7"/>
      <c r="R23" s="7"/>
      <c r="S23" s="4" t="str">
        <f t="shared" ref="S23:U23" si="24">IF(V23&gt;0,"Có","Không")</f>
        <v>Không</v>
      </c>
      <c r="T23" s="4" t="str">
        <f t="shared" si="24"/>
        <v>Không</v>
      </c>
      <c r="U23" s="4" t="str">
        <f t="shared" si="24"/>
        <v>Không</v>
      </c>
      <c r="V23" s="8"/>
      <c r="W23" s="8"/>
      <c r="X23" s="8"/>
      <c r="Y23" s="8"/>
      <c r="Z23" s="4" t="str">
        <f t="shared" si="19"/>
        <v>Không thực hiện</v>
      </c>
      <c r="AA23" s="2" t="e">
        <f t="shared" ca="1" si="2"/>
        <v>#NAME?</v>
      </c>
      <c r="AB23" s="47"/>
    </row>
    <row r="24" spans="1:38" ht="33" x14ac:dyDescent="0.25">
      <c r="A24" s="44">
        <v>23</v>
      </c>
      <c r="B24" s="1" t="s">
        <v>27</v>
      </c>
      <c r="C24" s="2" t="s">
        <v>101</v>
      </c>
      <c r="D24" s="9">
        <v>25</v>
      </c>
      <c r="E24" s="9">
        <v>6</v>
      </c>
      <c r="F24" s="1">
        <v>2026</v>
      </c>
      <c r="G24" s="1" t="s">
        <v>29</v>
      </c>
      <c r="H24" s="14" t="s">
        <v>102</v>
      </c>
      <c r="I24" s="9" t="s">
        <v>103</v>
      </c>
      <c r="J24" s="9" t="s">
        <v>103</v>
      </c>
      <c r="K24" s="1" t="s">
        <v>44</v>
      </c>
      <c r="L24" s="1" t="s">
        <v>33</v>
      </c>
      <c r="M24" s="1" t="s">
        <v>34</v>
      </c>
      <c r="N24" s="1">
        <v>385255667</v>
      </c>
      <c r="O24" s="7"/>
      <c r="P24" s="7"/>
      <c r="Q24" s="7"/>
      <c r="R24" s="7"/>
      <c r="S24" s="4" t="str">
        <f t="shared" ref="S24:U24" si="25">IF(V24&gt;0,"Có","Không")</f>
        <v>Không</v>
      </c>
      <c r="T24" s="4" t="str">
        <f t="shared" si="25"/>
        <v>Không</v>
      </c>
      <c r="U24" s="4" t="str">
        <f t="shared" si="25"/>
        <v>Không</v>
      </c>
      <c r="V24" s="8"/>
      <c r="W24" s="8"/>
      <c r="X24" s="8"/>
      <c r="Y24" s="8"/>
      <c r="Z24" s="4" t="str">
        <f t="shared" si="19"/>
        <v>Không thực hiện</v>
      </c>
      <c r="AA24" s="2" t="e">
        <f t="shared" ca="1" si="2"/>
        <v>#NAME?</v>
      </c>
      <c r="AB24" s="47"/>
    </row>
    <row r="25" spans="1:38" ht="49.5" x14ac:dyDescent="0.25">
      <c r="A25" s="45">
        <f t="shared" ref="A25:A48" si="26">ROW()-1</f>
        <v>24</v>
      </c>
      <c r="B25" s="15" t="s">
        <v>27</v>
      </c>
      <c r="C25" s="15" t="s">
        <v>28</v>
      </c>
      <c r="D25" s="16">
        <v>2</v>
      </c>
      <c r="E25" s="16">
        <v>7</v>
      </c>
      <c r="F25" s="1">
        <v>2026</v>
      </c>
      <c r="G25" s="15" t="s">
        <v>29</v>
      </c>
      <c r="H25" s="15" t="s">
        <v>104</v>
      </c>
      <c r="I25" s="15" t="s">
        <v>37</v>
      </c>
      <c r="J25" s="15" t="s">
        <v>37</v>
      </c>
      <c r="K25" s="15" t="s">
        <v>105</v>
      </c>
      <c r="L25" s="15" t="s">
        <v>33</v>
      </c>
      <c r="M25" s="15" t="s">
        <v>34</v>
      </c>
      <c r="N25" s="15">
        <v>385255667</v>
      </c>
      <c r="O25" s="7"/>
      <c r="P25" s="7"/>
      <c r="Q25" s="7"/>
      <c r="R25" s="7"/>
      <c r="S25" s="4" t="str">
        <f t="shared" ref="S25:U25" si="27">IF(V25&gt;0,"Có","Không")</f>
        <v>Không</v>
      </c>
      <c r="T25" s="4" t="str">
        <f t="shared" si="27"/>
        <v>Không</v>
      </c>
      <c r="U25" s="4" t="str">
        <f t="shared" si="27"/>
        <v>Không</v>
      </c>
      <c r="V25" s="8"/>
      <c r="W25" s="8"/>
      <c r="X25" s="8"/>
      <c r="Y25" s="8"/>
      <c r="Z25" s="4" t="str">
        <f t="shared" si="19"/>
        <v>Không thực hiện</v>
      </c>
      <c r="AA25" s="2" t="e">
        <f t="shared" ca="1" si="2"/>
        <v>#NAME?</v>
      </c>
      <c r="AB25" s="47"/>
      <c r="AC25" s="17"/>
      <c r="AD25" s="17"/>
      <c r="AE25" s="17"/>
      <c r="AF25" s="17"/>
      <c r="AG25" s="17"/>
      <c r="AH25" s="17"/>
      <c r="AI25" s="17"/>
      <c r="AJ25" s="17"/>
      <c r="AK25" s="17"/>
      <c r="AL25" s="17"/>
    </row>
    <row r="26" spans="1:38" ht="15.75" customHeight="1" x14ac:dyDescent="0.25">
      <c r="A26" s="45">
        <f t="shared" si="26"/>
        <v>25</v>
      </c>
      <c r="B26" s="15" t="s">
        <v>27</v>
      </c>
      <c r="C26" s="15" t="s">
        <v>28</v>
      </c>
      <c r="D26" s="16">
        <v>9</v>
      </c>
      <c r="E26" s="16">
        <v>7</v>
      </c>
      <c r="F26" s="1">
        <v>2026</v>
      </c>
      <c r="G26" s="15" t="s">
        <v>29</v>
      </c>
      <c r="H26" s="15" t="s">
        <v>106</v>
      </c>
      <c r="I26" s="15" t="s">
        <v>31</v>
      </c>
      <c r="J26" s="15" t="s">
        <v>31</v>
      </c>
      <c r="K26" s="15" t="s">
        <v>105</v>
      </c>
      <c r="L26" s="15" t="s">
        <v>33</v>
      </c>
      <c r="M26" s="15" t="s">
        <v>34</v>
      </c>
      <c r="N26" s="15">
        <v>385255667</v>
      </c>
      <c r="O26" s="7"/>
      <c r="P26" s="7"/>
      <c r="Q26" s="7"/>
      <c r="R26" s="7"/>
      <c r="S26" s="4" t="str">
        <f t="shared" ref="S26:U26" si="28">IF(V26&gt;0,"Có","Không")</f>
        <v>Không</v>
      </c>
      <c r="T26" s="4" t="str">
        <f t="shared" si="28"/>
        <v>Không</v>
      </c>
      <c r="U26" s="4" t="str">
        <f t="shared" si="28"/>
        <v>Không</v>
      </c>
      <c r="V26" s="8"/>
      <c r="W26" s="8"/>
      <c r="X26" s="8"/>
      <c r="Y26" s="8"/>
      <c r="Z26" s="4" t="str">
        <f t="shared" si="19"/>
        <v>Không thực hiện</v>
      </c>
      <c r="AA26" s="2" t="e">
        <f t="shared" ca="1" si="2"/>
        <v>#NAME?</v>
      </c>
      <c r="AB26" s="47"/>
      <c r="AC26" s="17"/>
      <c r="AD26" s="17"/>
      <c r="AE26" s="17"/>
      <c r="AF26" s="17"/>
      <c r="AG26" s="17"/>
      <c r="AH26" s="17"/>
      <c r="AI26" s="17"/>
      <c r="AJ26" s="17"/>
      <c r="AK26" s="17"/>
      <c r="AL26" s="17"/>
    </row>
    <row r="27" spans="1:38" ht="15.75" customHeight="1" x14ac:dyDescent="0.25">
      <c r="A27" s="45">
        <f t="shared" si="26"/>
        <v>26</v>
      </c>
      <c r="B27" s="15" t="s">
        <v>27</v>
      </c>
      <c r="C27" s="15" t="s">
        <v>28</v>
      </c>
      <c r="D27" s="16">
        <v>16</v>
      </c>
      <c r="E27" s="16">
        <v>7</v>
      </c>
      <c r="F27" s="1">
        <v>2026</v>
      </c>
      <c r="G27" s="15" t="s">
        <v>29</v>
      </c>
      <c r="H27" s="15" t="s">
        <v>107</v>
      </c>
      <c r="I27" s="15" t="s">
        <v>40</v>
      </c>
      <c r="J27" s="15" t="s">
        <v>40</v>
      </c>
      <c r="K27" s="15" t="s">
        <v>105</v>
      </c>
      <c r="L27" s="15" t="s">
        <v>33</v>
      </c>
      <c r="M27" s="15" t="s">
        <v>34</v>
      </c>
      <c r="N27" s="15">
        <v>385255667</v>
      </c>
      <c r="O27" s="7"/>
      <c r="P27" s="7"/>
      <c r="Q27" s="7"/>
      <c r="R27" s="7"/>
      <c r="S27" s="4" t="str">
        <f t="shared" ref="S27:U27" si="29">IF(V27&gt;0,"Có","Không")</f>
        <v>Không</v>
      </c>
      <c r="T27" s="4" t="str">
        <f t="shared" si="29"/>
        <v>Không</v>
      </c>
      <c r="U27" s="4" t="str">
        <f t="shared" si="29"/>
        <v>Không</v>
      </c>
      <c r="V27" s="8"/>
      <c r="W27" s="8"/>
      <c r="X27" s="8"/>
      <c r="Y27" s="8"/>
      <c r="Z27" s="4" t="str">
        <f t="shared" si="19"/>
        <v>Không thực hiện</v>
      </c>
      <c r="AA27" s="2" t="e">
        <f t="shared" ca="1" si="2"/>
        <v>#NAME?</v>
      </c>
      <c r="AB27" s="47"/>
      <c r="AC27" s="17"/>
      <c r="AD27" s="17"/>
      <c r="AE27" s="17"/>
      <c r="AF27" s="17"/>
      <c r="AG27" s="17"/>
      <c r="AH27" s="17"/>
      <c r="AI27" s="17"/>
      <c r="AJ27" s="17"/>
      <c r="AK27" s="17"/>
      <c r="AL27" s="17"/>
    </row>
    <row r="28" spans="1:38" ht="15.75" customHeight="1" x14ac:dyDescent="0.25">
      <c r="A28" s="45">
        <f t="shared" si="26"/>
        <v>27</v>
      </c>
      <c r="B28" s="15" t="s">
        <v>27</v>
      </c>
      <c r="C28" s="15" t="s">
        <v>28</v>
      </c>
      <c r="D28" s="16">
        <v>23</v>
      </c>
      <c r="E28" s="16">
        <v>7</v>
      </c>
      <c r="F28" s="1">
        <v>2026</v>
      </c>
      <c r="G28" s="15" t="s">
        <v>29</v>
      </c>
      <c r="H28" s="15" t="s">
        <v>108</v>
      </c>
      <c r="I28" s="15" t="s">
        <v>56</v>
      </c>
      <c r="J28" s="15" t="s">
        <v>56</v>
      </c>
      <c r="K28" s="15" t="s">
        <v>109</v>
      </c>
      <c r="L28" s="15" t="s">
        <v>33</v>
      </c>
      <c r="M28" s="15" t="s">
        <v>34</v>
      </c>
      <c r="N28" s="15">
        <v>385255667</v>
      </c>
      <c r="O28" s="7"/>
      <c r="P28" s="7"/>
      <c r="Q28" s="7"/>
      <c r="R28" s="7"/>
      <c r="S28" s="4" t="str">
        <f t="shared" ref="S28:U28" si="30">IF(V28&gt;0,"Có","Không")</f>
        <v>Không</v>
      </c>
      <c r="T28" s="4" t="str">
        <f t="shared" si="30"/>
        <v>Không</v>
      </c>
      <c r="U28" s="4" t="str">
        <f t="shared" si="30"/>
        <v>Không</v>
      </c>
      <c r="V28" s="8"/>
      <c r="W28" s="8"/>
      <c r="X28" s="8"/>
      <c r="Y28" s="8"/>
      <c r="Z28" s="4" t="str">
        <f t="shared" si="19"/>
        <v>Không thực hiện</v>
      </c>
      <c r="AA28" s="2" t="e">
        <f t="shared" ca="1" si="2"/>
        <v>#NAME?</v>
      </c>
      <c r="AB28" s="47"/>
      <c r="AC28" s="17"/>
      <c r="AD28" s="17"/>
      <c r="AE28" s="17"/>
      <c r="AF28" s="17"/>
      <c r="AG28" s="17"/>
      <c r="AH28" s="17"/>
      <c r="AI28" s="17"/>
      <c r="AJ28" s="17"/>
      <c r="AK28" s="17"/>
      <c r="AL28" s="17"/>
    </row>
    <row r="29" spans="1:38" ht="15.75" customHeight="1" x14ac:dyDescent="0.25">
      <c r="A29" s="45">
        <f t="shared" si="26"/>
        <v>28</v>
      </c>
      <c r="B29" s="15" t="s">
        <v>27</v>
      </c>
      <c r="C29" s="15" t="s">
        <v>28</v>
      </c>
      <c r="D29" s="16">
        <v>30</v>
      </c>
      <c r="E29" s="16">
        <v>7</v>
      </c>
      <c r="F29" s="1">
        <v>2026</v>
      </c>
      <c r="G29" s="15" t="s">
        <v>29</v>
      </c>
      <c r="H29" s="15" t="s">
        <v>110</v>
      </c>
      <c r="I29" s="15" t="s">
        <v>111</v>
      </c>
      <c r="J29" s="15" t="s">
        <v>111</v>
      </c>
      <c r="K29" s="15" t="s">
        <v>109</v>
      </c>
      <c r="L29" s="15" t="s">
        <v>33</v>
      </c>
      <c r="M29" s="15" t="s">
        <v>34</v>
      </c>
      <c r="N29" s="15">
        <v>385255667</v>
      </c>
      <c r="O29" s="7"/>
      <c r="P29" s="7"/>
      <c r="Q29" s="7"/>
      <c r="R29" s="7"/>
      <c r="S29" s="4" t="str">
        <f t="shared" ref="S29:U29" si="31">IF(V29&gt;0,"Có","Không")</f>
        <v>Không</v>
      </c>
      <c r="T29" s="4" t="str">
        <f t="shared" si="31"/>
        <v>Không</v>
      </c>
      <c r="U29" s="4" t="str">
        <f t="shared" si="31"/>
        <v>Không</v>
      </c>
      <c r="V29" s="8"/>
      <c r="W29" s="8"/>
      <c r="X29" s="8"/>
      <c r="Y29" s="8"/>
      <c r="Z29" s="4" t="str">
        <f t="shared" si="19"/>
        <v>Không thực hiện</v>
      </c>
      <c r="AA29" s="2" t="e">
        <f t="shared" ca="1" si="2"/>
        <v>#NAME?</v>
      </c>
      <c r="AB29" s="47"/>
      <c r="AC29" s="17"/>
      <c r="AD29" s="17"/>
      <c r="AE29" s="17"/>
      <c r="AF29" s="17"/>
      <c r="AG29" s="17"/>
      <c r="AH29" s="17"/>
      <c r="AI29" s="17"/>
      <c r="AJ29" s="17"/>
      <c r="AK29" s="17"/>
      <c r="AL29" s="17"/>
    </row>
    <row r="30" spans="1:38" ht="15.75" customHeight="1" x14ac:dyDescent="0.25">
      <c r="A30" s="45">
        <f t="shared" si="26"/>
        <v>29</v>
      </c>
      <c r="B30" s="15" t="s">
        <v>27</v>
      </c>
      <c r="C30" s="15" t="s">
        <v>28</v>
      </c>
      <c r="D30" s="16">
        <v>6</v>
      </c>
      <c r="E30" s="16">
        <v>8</v>
      </c>
      <c r="F30" s="1">
        <v>2026</v>
      </c>
      <c r="G30" s="15" t="s">
        <v>29</v>
      </c>
      <c r="H30" s="15" t="s">
        <v>112</v>
      </c>
      <c r="I30" s="15" t="s">
        <v>85</v>
      </c>
      <c r="J30" s="15" t="s">
        <v>85</v>
      </c>
      <c r="K30" s="15" t="s">
        <v>105</v>
      </c>
      <c r="L30" s="15" t="s">
        <v>33</v>
      </c>
      <c r="M30" s="15" t="s">
        <v>34</v>
      </c>
      <c r="N30" s="15">
        <v>385255667</v>
      </c>
      <c r="O30" s="7"/>
      <c r="P30" s="7"/>
      <c r="Q30" s="7"/>
      <c r="R30" s="7"/>
      <c r="S30" s="4" t="str">
        <f t="shared" ref="S30:U30" si="32">IF(V30&gt;0,"Có","Không")</f>
        <v>Không</v>
      </c>
      <c r="T30" s="4" t="str">
        <f t="shared" si="32"/>
        <v>Không</v>
      </c>
      <c r="U30" s="4" t="str">
        <f t="shared" si="32"/>
        <v>Không</v>
      </c>
      <c r="V30" s="8"/>
      <c r="W30" s="8"/>
      <c r="X30" s="8"/>
      <c r="Y30" s="8"/>
      <c r="Z30" s="4" t="str">
        <f t="shared" si="19"/>
        <v>Không thực hiện</v>
      </c>
      <c r="AA30" s="2" t="e">
        <f t="shared" ca="1" si="2"/>
        <v>#NAME?</v>
      </c>
      <c r="AB30" s="47"/>
      <c r="AC30" s="17"/>
      <c r="AD30" s="17"/>
      <c r="AE30" s="17"/>
      <c r="AF30" s="17"/>
      <c r="AG30" s="17"/>
      <c r="AH30" s="17"/>
      <c r="AI30" s="17"/>
      <c r="AJ30" s="17"/>
      <c r="AK30" s="17"/>
      <c r="AL30" s="17"/>
    </row>
    <row r="31" spans="1:38" ht="15.75" customHeight="1" x14ac:dyDescent="0.25">
      <c r="A31" s="45">
        <f t="shared" si="26"/>
        <v>30</v>
      </c>
      <c r="B31" s="15" t="s">
        <v>27</v>
      </c>
      <c r="C31" s="15" t="s">
        <v>28</v>
      </c>
      <c r="D31" s="16">
        <v>13</v>
      </c>
      <c r="E31" s="16">
        <v>8</v>
      </c>
      <c r="F31" s="1">
        <v>2026</v>
      </c>
      <c r="G31" s="15" t="s">
        <v>29</v>
      </c>
      <c r="H31" s="15" t="s">
        <v>113</v>
      </c>
      <c r="I31" s="15" t="s">
        <v>53</v>
      </c>
      <c r="J31" s="15" t="s">
        <v>53</v>
      </c>
      <c r="K31" s="15" t="s">
        <v>105</v>
      </c>
      <c r="L31" s="15" t="s">
        <v>33</v>
      </c>
      <c r="M31" s="15" t="s">
        <v>34</v>
      </c>
      <c r="N31" s="18">
        <v>385255667</v>
      </c>
      <c r="O31" s="7"/>
      <c r="P31" s="7"/>
      <c r="Q31" s="7"/>
      <c r="R31" s="7"/>
      <c r="S31" s="4" t="str">
        <f t="shared" ref="S31:U31" si="33">IF(V31&gt;0,"Có","Không")</f>
        <v>Không</v>
      </c>
      <c r="T31" s="4" t="str">
        <f t="shared" si="33"/>
        <v>Không</v>
      </c>
      <c r="U31" s="4" t="str">
        <f t="shared" si="33"/>
        <v>Không</v>
      </c>
      <c r="V31" s="8"/>
      <c r="W31" s="8"/>
      <c r="X31" s="8"/>
      <c r="Y31" s="8"/>
      <c r="Z31" s="4" t="str">
        <f t="shared" si="19"/>
        <v>Không thực hiện</v>
      </c>
      <c r="AA31" s="2" t="e">
        <f t="shared" ca="1" si="2"/>
        <v>#NAME?</v>
      </c>
      <c r="AB31" s="47"/>
      <c r="AC31" s="17"/>
      <c r="AD31" s="17"/>
      <c r="AE31" s="17"/>
      <c r="AF31" s="17"/>
      <c r="AG31" s="17"/>
      <c r="AH31" s="17"/>
      <c r="AI31" s="17"/>
      <c r="AJ31" s="17"/>
      <c r="AK31" s="17"/>
      <c r="AL31" s="17"/>
    </row>
    <row r="32" spans="1:38" ht="15.75" customHeight="1" x14ac:dyDescent="0.25">
      <c r="A32" s="45">
        <f t="shared" si="26"/>
        <v>31</v>
      </c>
      <c r="B32" s="15" t="s">
        <v>27</v>
      </c>
      <c r="C32" s="15" t="s">
        <v>28</v>
      </c>
      <c r="D32" s="16">
        <v>20</v>
      </c>
      <c r="E32" s="16">
        <v>8</v>
      </c>
      <c r="F32" s="1">
        <v>2026</v>
      </c>
      <c r="G32" s="15" t="s">
        <v>29</v>
      </c>
      <c r="H32" s="15" t="s">
        <v>114</v>
      </c>
      <c r="I32" s="15" t="s">
        <v>60</v>
      </c>
      <c r="J32" s="15" t="s">
        <v>60</v>
      </c>
      <c r="K32" s="15" t="s">
        <v>105</v>
      </c>
      <c r="L32" s="15" t="s">
        <v>33</v>
      </c>
      <c r="M32" s="15" t="s">
        <v>34</v>
      </c>
      <c r="N32" s="19">
        <v>385255667</v>
      </c>
      <c r="O32" s="7"/>
      <c r="P32" s="7"/>
      <c r="Q32" s="7"/>
      <c r="R32" s="7"/>
      <c r="S32" s="4" t="str">
        <f t="shared" ref="S32:U32" si="34">IF(V32&gt;0,"Có","Không")</f>
        <v>Không</v>
      </c>
      <c r="T32" s="4" t="str">
        <f t="shared" si="34"/>
        <v>Không</v>
      </c>
      <c r="U32" s="4" t="str">
        <f t="shared" si="34"/>
        <v>Không</v>
      </c>
      <c r="V32" s="8"/>
      <c r="W32" s="8"/>
      <c r="X32" s="8"/>
      <c r="Y32" s="8"/>
      <c r="Z32" s="4" t="str">
        <f t="shared" si="19"/>
        <v>Không thực hiện</v>
      </c>
      <c r="AA32" s="2" t="e">
        <f t="shared" ca="1" si="2"/>
        <v>#NAME?</v>
      </c>
      <c r="AB32" s="47"/>
      <c r="AC32" s="17"/>
      <c r="AD32" s="17"/>
      <c r="AE32" s="17"/>
      <c r="AF32" s="17"/>
      <c r="AG32" s="17"/>
      <c r="AH32" s="17"/>
      <c r="AI32" s="17"/>
      <c r="AJ32" s="17"/>
      <c r="AK32" s="17"/>
      <c r="AL32" s="17"/>
    </row>
    <row r="33" spans="1:38" ht="15.75" customHeight="1" x14ac:dyDescent="0.25">
      <c r="A33" s="45">
        <f t="shared" si="26"/>
        <v>32</v>
      </c>
      <c r="B33" s="15" t="s">
        <v>27</v>
      </c>
      <c r="C33" s="15" t="s">
        <v>28</v>
      </c>
      <c r="D33" s="16">
        <v>27</v>
      </c>
      <c r="E33" s="16">
        <v>8</v>
      </c>
      <c r="F33" s="1">
        <v>2026</v>
      </c>
      <c r="G33" s="15" t="s">
        <v>29</v>
      </c>
      <c r="H33" s="15" t="s">
        <v>115</v>
      </c>
      <c r="I33" s="15" t="s">
        <v>63</v>
      </c>
      <c r="J33" s="15" t="s">
        <v>63</v>
      </c>
      <c r="K33" s="15" t="s">
        <v>105</v>
      </c>
      <c r="L33" s="15" t="s">
        <v>33</v>
      </c>
      <c r="M33" s="15" t="s">
        <v>34</v>
      </c>
      <c r="N33" s="20">
        <v>385255667</v>
      </c>
      <c r="O33" s="7"/>
      <c r="P33" s="7"/>
      <c r="Q33" s="7"/>
      <c r="R33" s="7"/>
      <c r="S33" s="4" t="str">
        <f t="shared" ref="S33:U33" si="35">IF(V33&gt;0,"Có","Không")</f>
        <v>Không</v>
      </c>
      <c r="T33" s="4" t="str">
        <f t="shared" si="35"/>
        <v>Không</v>
      </c>
      <c r="U33" s="4" t="str">
        <f t="shared" si="35"/>
        <v>Không</v>
      </c>
      <c r="V33" s="8"/>
      <c r="W33" s="8"/>
      <c r="X33" s="8"/>
      <c r="Y33" s="8"/>
      <c r="Z33" s="4" t="str">
        <f t="shared" si="19"/>
        <v>Không thực hiện</v>
      </c>
      <c r="AA33" s="2" t="e">
        <f t="shared" ca="1" si="2"/>
        <v>#NAME?</v>
      </c>
      <c r="AB33" s="47"/>
      <c r="AC33" s="17"/>
      <c r="AD33" s="17"/>
      <c r="AE33" s="17"/>
      <c r="AF33" s="17"/>
      <c r="AG33" s="17"/>
      <c r="AH33" s="17"/>
      <c r="AI33" s="17"/>
      <c r="AJ33" s="17"/>
      <c r="AK33" s="17"/>
      <c r="AL33" s="17"/>
    </row>
    <row r="34" spans="1:38" ht="15.75" customHeight="1" x14ac:dyDescent="0.25">
      <c r="A34" s="45">
        <f t="shared" si="26"/>
        <v>33</v>
      </c>
      <c r="B34" s="15" t="s">
        <v>27</v>
      </c>
      <c r="C34" s="15" t="s">
        <v>28</v>
      </c>
      <c r="D34" s="16">
        <v>10</v>
      </c>
      <c r="E34" s="16">
        <v>9</v>
      </c>
      <c r="F34" s="1">
        <v>2026</v>
      </c>
      <c r="G34" s="15" t="s">
        <v>29</v>
      </c>
      <c r="H34" s="15" t="s">
        <v>116</v>
      </c>
      <c r="I34" s="15" t="s">
        <v>117</v>
      </c>
      <c r="J34" s="15" t="s">
        <v>117</v>
      </c>
      <c r="K34" s="15" t="s">
        <v>105</v>
      </c>
      <c r="L34" s="15" t="s">
        <v>33</v>
      </c>
      <c r="M34" s="15" t="s">
        <v>34</v>
      </c>
      <c r="N34" s="19">
        <v>385255667</v>
      </c>
      <c r="O34" s="7"/>
      <c r="P34" s="7"/>
      <c r="Q34" s="7"/>
      <c r="R34" s="7"/>
      <c r="S34" s="4" t="str">
        <f t="shared" ref="S34:U34" si="36">IF(V34&gt;0,"Có","Không")</f>
        <v>Không</v>
      </c>
      <c r="T34" s="4" t="str">
        <f t="shared" si="36"/>
        <v>Không</v>
      </c>
      <c r="U34" s="4" t="str">
        <f t="shared" si="36"/>
        <v>Không</v>
      </c>
      <c r="V34" s="8"/>
      <c r="W34" s="8"/>
      <c r="X34" s="8"/>
      <c r="Y34" s="8"/>
      <c r="Z34" s="4" t="str">
        <f t="shared" si="19"/>
        <v>Không thực hiện</v>
      </c>
      <c r="AA34" s="2" t="e">
        <f t="shared" ca="1" si="2"/>
        <v>#NAME?</v>
      </c>
      <c r="AB34" s="47"/>
      <c r="AC34" s="17"/>
      <c r="AD34" s="17"/>
      <c r="AE34" s="17"/>
      <c r="AF34" s="17"/>
      <c r="AG34" s="17"/>
      <c r="AH34" s="17"/>
      <c r="AI34" s="17"/>
      <c r="AJ34" s="17"/>
      <c r="AK34" s="17"/>
      <c r="AL34" s="17"/>
    </row>
    <row r="35" spans="1:38" ht="15.75" customHeight="1" x14ac:dyDescent="0.25">
      <c r="A35" s="45">
        <f t="shared" si="26"/>
        <v>34</v>
      </c>
      <c r="B35" s="15" t="s">
        <v>27</v>
      </c>
      <c r="C35" s="15" t="s">
        <v>28</v>
      </c>
      <c r="D35" s="16">
        <v>17</v>
      </c>
      <c r="E35" s="16">
        <v>9</v>
      </c>
      <c r="F35" s="1">
        <v>2026</v>
      </c>
      <c r="G35" s="15" t="s">
        <v>29</v>
      </c>
      <c r="H35" s="15" t="s">
        <v>118</v>
      </c>
      <c r="I35" s="15" t="s">
        <v>119</v>
      </c>
      <c r="J35" s="15" t="s">
        <v>119</v>
      </c>
      <c r="K35" s="15" t="s">
        <v>109</v>
      </c>
      <c r="L35" s="15" t="s">
        <v>33</v>
      </c>
      <c r="M35" s="15" t="s">
        <v>34</v>
      </c>
      <c r="N35" s="20">
        <v>385255667</v>
      </c>
      <c r="O35" s="7"/>
      <c r="P35" s="7"/>
      <c r="Q35" s="7"/>
      <c r="R35" s="7"/>
      <c r="S35" s="4" t="str">
        <f t="shared" ref="S35:U35" si="37">IF(V35&gt;0,"Có","Không")</f>
        <v>Không</v>
      </c>
      <c r="T35" s="4" t="str">
        <f t="shared" si="37"/>
        <v>Không</v>
      </c>
      <c r="U35" s="4" t="str">
        <f t="shared" si="37"/>
        <v>Không</v>
      </c>
      <c r="V35" s="8"/>
      <c r="W35" s="8"/>
      <c r="X35" s="8"/>
      <c r="Y35" s="8"/>
      <c r="Z35" s="4" t="str">
        <f t="shared" si="19"/>
        <v>Không thực hiện</v>
      </c>
      <c r="AA35" s="2" t="e">
        <f t="shared" ca="1" si="2"/>
        <v>#NAME?</v>
      </c>
      <c r="AB35" s="47"/>
      <c r="AC35" s="17"/>
      <c r="AD35" s="17"/>
      <c r="AE35" s="17"/>
      <c r="AF35" s="17"/>
      <c r="AG35" s="17"/>
      <c r="AH35" s="17"/>
      <c r="AI35" s="17"/>
      <c r="AJ35" s="17"/>
      <c r="AK35" s="17"/>
      <c r="AL35" s="17"/>
    </row>
    <row r="36" spans="1:38" ht="15.75" customHeight="1" x14ac:dyDescent="0.25">
      <c r="A36" s="45">
        <f t="shared" si="26"/>
        <v>35</v>
      </c>
      <c r="B36" s="15" t="s">
        <v>27</v>
      </c>
      <c r="C36" s="15" t="s">
        <v>28</v>
      </c>
      <c r="D36" s="16">
        <v>24</v>
      </c>
      <c r="E36" s="16">
        <v>9</v>
      </c>
      <c r="F36" s="1">
        <v>2026</v>
      </c>
      <c r="G36" s="15" t="s">
        <v>29</v>
      </c>
      <c r="H36" s="15" t="s">
        <v>120</v>
      </c>
      <c r="I36" s="15" t="s">
        <v>121</v>
      </c>
      <c r="J36" s="15" t="s">
        <v>121</v>
      </c>
      <c r="K36" s="15" t="s">
        <v>109</v>
      </c>
      <c r="L36" s="15" t="s">
        <v>33</v>
      </c>
      <c r="M36" s="15" t="s">
        <v>34</v>
      </c>
      <c r="N36" s="19">
        <v>385255667</v>
      </c>
      <c r="O36" s="7"/>
      <c r="P36" s="7"/>
      <c r="Q36" s="7"/>
      <c r="R36" s="7"/>
      <c r="S36" s="4" t="str">
        <f t="shared" ref="S36:U36" si="38">IF(V36&gt;0,"Có","Không")</f>
        <v>Không</v>
      </c>
      <c r="T36" s="4" t="str">
        <f t="shared" si="38"/>
        <v>Không</v>
      </c>
      <c r="U36" s="4" t="str">
        <f t="shared" si="38"/>
        <v>Không</v>
      </c>
      <c r="V36" s="8"/>
      <c r="W36" s="8"/>
      <c r="X36" s="8"/>
      <c r="Y36" s="8"/>
      <c r="Z36" s="4" t="str">
        <f t="shared" si="19"/>
        <v>Không thực hiện</v>
      </c>
      <c r="AA36" s="2" t="e">
        <f t="shared" ca="1" si="2"/>
        <v>#NAME?</v>
      </c>
      <c r="AB36" s="47"/>
      <c r="AC36" s="17"/>
      <c r="AD36" s="17"/>
      <c r="AE36" s="17"/>
      <c r="AF36" s="17"/>
      <c r="AG36" s="17"/>
      <c r="AH36" s="17"/>
      <c r="AI36" s="17"/>
      <c r="AJ36" s="17"/>
      <c r="AK36" s="17"/>
      <c r="AL36" s="17"/>
    </row>
    <row r="37" spans="1:38" ht="15.75" customHeight="1" x14ac:dyDescent="0.25">
      <c r="A37" s="45">
        <f t="shared" si="26"/>
        <v>36</v>
      </c>
      <c r="B37" s="15" t="s">
        <v>27</v>
      </c>
      <c r="C37" s="15" t="s">
        <v>28</v>
      </c>
      <c r="D37" s="16">
        <v>1</v>
      </c>
      <c r="E37" s="16">
        <v>10</v>
      </c>
      <c r="F37" s="1">
        <v>2026</v>
      </c>
      <c r="G37" s="15" t="s">
        <v>29</v>
      </c>
      <c r="H37" s="15" t="s">
        <v>122</v>
      </c>
      <c r="I37" s="15" t="s">
        <v>37</v>
      </c>
      <c r="J37" s="15" t="s">
        <v>37</v>
      </c>
      <c r="K37" s="15" t="s">
        <v>105</v>
      </c>
      <c r="L37" s="15" t="s">
        <v>33</v>
      </c>
      <c r="M37" s="15" t="s">
        <v>34</v>
      </c>
      <c r="N37" s="20">
        <v>385255667</v>
      </c>
      <c r="O37" s="7"/>
      <c r="P37" s="7"/>
      <c r="Q37" s="7"/>
      <c r="R37" s="7"/>
      <c r="S37" s="4" t="str">
        <f t="shared" ref="S37:U37" si="39">IF(V37&gt;0,"Có","Không")</f>
        <v>Không</v>
      </c>
      <c r="T37" s="4" t="str">
        <f t="shared" si="39"/>
        <v>Không</v>
      </c>
      <c r="U37" s="4" t="str">
        <f t="shared" si="39"/>
        <v>Không</v>
      </c>
      <c r="V37" s="8"/>
      <c r="W37" s="8"/>
      <c r="X37" s="8"/>
      <c r="Y37" s="8"/>
      <c r="Z37" s="4" t="str">
        <f t="shared" si="19"/>
        <v>Không thực hiện</v>
      </c>
      <c r="AA37" s="2" t="e">
        <f t="shared" ca="1" si="2"/>
        <v>#NAME?</v>
      </c>
      <c r="AB37" s="47"/>
      <c r="AC37" s="17"/>
      <c r="AD37" s="17"/>
      <c r="AE37" s="17"/>
      <c r="AF37" s="17"/>
      <c r="AG37" s="17"/>
      <c r="AH37" s="17"/>
      <c r="AI37" s="17"/>
      <c r="AJ37" s="17"/>
      <c r="AK37" s="17"/>
      <c r="AL37" s="17"/>
    </row>
    <row r="38" spans="1:38" ht="15.75" customHeight="1" x14ac:dyDescent="0.25">
      <c r="A38" s="45">
        <f t="shared" si="26"/>
        <v>37</v>
      </c>
      <c r="B38" s="15" t="s">
        <v>27</v>
      </c>
      <c r="C38" s="15" t="s">
        <v>28</v>
      </c>
      <c r="D38" s="16">
        <v>8</v>
      </c>
      <c r="E38" s="16">
        <v>10</v>
      </c>
      <c r="F38" s="1">
        <v>2026</v>
      </c>
      <c r="G38" s="15" t="s">
        <v>29</v>
      </c>
      <c r="H38" s="15" t="s">
        <v>123</v>
      </c>
      <c r="I38" s="15" t="s">
        <v>31</v>
      </c>
      <c r="J38" s="15" t="s">
        <v>31</v>
      </c>
      <c r="K38" s="15" t="s">
        <v>105</v>
      </c>
      <c r="L38" s="15" t="s">
        <v>33</v>
      </c>
      <c r="M38" s="15" t="s">
        <v>34</v>
      </c>
      <c r="N38" s="19">
        <v>385255667</v>
      </c>
      <c r="O38" s="7"/>
      <c r="P38" s="7"/>
      <c r="Q38" s="7"/>
      <c r="R38" s="7"/>
      <c r="S38" s="4" t="str">
        <f t="shared" ref="S38:U38" si="40">IF(V38&gt;0,"Có","Không")</f>
        <v>Không</v>
      </c>
      <c r="T38" s="4" t="str">
        <f t="shared" si="40"/>
        <v>Không</v>
      </c>
      <c r="U38" s="4" t="str">
        <f t="shared" si="40"/>
        <v>Không</v>
      </c>
      <c r="V38" s="8"/>
      <c r="W38" s="8"/>
      <c r="X38" s="8"/>
      <c r="Y38" s="8"/>
      <c r="Z38" s="4" t="str">
        <f t="shared" si="19"/>
        <v>Không thực hiện</v>
      </c>
      <c r="AA38" s="2" t="e">
        <f t="shared" ca="1" si="2"/>
        <v>#NAME?</v>
      </c>
      <c r="AB38" s="47"/>
      <c r="AC38" s="17"/>
      <c r="AD38" s="17"/>
      <c r="AE38" s="17"/>
      <c r="AF38" s="17"/>
      <c r="AG38" s="17"/>
      <c r="AH38" s="17"/>
      <c r="AI38" s="17"/>
      <c r="AJ38" s="17"/>
      <c r="AK38" s="17"/>
      <c r="AL38" s="17"/>
    </row>
    <row r="39" spans="1:38" ht="15.75" customHeight="1" x14ac:dyDescent="0.25">
      <c r="A39" s="45">
        <f t="shared" si="26"/>
        <v>38</v>
      </c>
      <c r="B39" s="15" t="s">
        <v>27</v>
      </c>
      <c r="C39" s="15" t="s">
        <v>28</v>
      </c>
      <c r="D39" s="16">
        <v>15</v>
      </c>
      <c r="E39" s="16">
        <v>10</v>
      </c>
      <c r="F39" s="1">
        <v>2026</v>
      </c>
      <c r="G39" s="15" t="s">
        <v>29</v>
      </c>
      <c r="H39" s="15" t="s">
        <v>124</v>
      </c>
      <c r="I39" s="15" t="s">
        <v>40</v>
      </c>
      <c r="J39" s="15" t="s">
        <v>40</v>
      </c>
      <c r="K39" s="15" t="s">
        <v>105</v>
      </c>
      <c r="L39" s="15" t="s">
        <v>33</v>
      </c>
      <c r="M39" s="15" t="s">
        <v>34</v>
      </c>
      <c r="N39" s="20">
        <v>385255667</v>
      </c>
      <c r="O39" s="7"/>
      <c r="P39" s="7"/>
      <c r="Q39" s="7"/>
      <c r="R39" s="7"/>
      <c r="S39" s="4" t="str">
        <f t="shared" ref="S39:U39" si="41">IF(V39&gt;0,"Có","Không")</f>
        <v>Không</v>
      </c>
      <c r="T39" s="4" t="str">
        <f t="shared" si="41"/>
        <v>Không</v>
      </c>
      <c r="U39" s="4" t="str">
        <f t="shared" si="41"/>
        <v>Không</v>
      </c>
      <c r="V39" s="8"/>
      <c r="W39" s="8"/>
      <c r="X39" s="8"/>
      <c r="Y39" s="8"/>
      <c r="Z39" s="4" t="str">
        <f t="shared" si="19"/>
        <v>Không thực hiện</v>
      </c>
      <c r="AA39" s="2" t="e">
        <f t="shared" ca="1" si="2"/>
        <v>#NAME?</v>
      </c>
      <c r="AB39" s="47"/>
      <c r="AC39" s="17"/>
      <c r="AD39" s="17"/>
      <c r="AE39" s="17"/>
      <c r="AF39" s="17"/>
      <c r="AG39" s="17"/>
      <c r="AH39" s="17"/>
      <c r="AI39" s="17"/>
      <c r="AJ39" s="17"/>
      <c r="AK39" s="17"/>
      <c r="AL39" s="17"/>
    </row>
    <row r="40" spans="1:38" ht="15.75" customHeight="1" x14ac:dyDescent="0.25">
      <c r="A40" s="45">
        <f t="shared" si="26"/>
        <v>39</v>
      </c>
      <c r="B40" s="15" t="s">
        <v>27</v>
      </c>
      <c r="C40" s="15" t="s">
        <v>28</v>
      </c>
      <c r="D40" s="16">
        <v>22</v>
      </c>
      <c r="E40" s="16">
        <v>10</v>
      </c>
      <c r="F40" s="1">
        <v>2026</v>
      </c>
      <c r="G40" s="15" t="s">
        <v>29</v>
      </c>
      <c r="H40" s="15" t="s">
        <v>125</v>
      </c>
      <c r="I40" s="15" t="s">
        <v>103</v>
      </c>
      <c r="J40" s="15" t="s">
        <v>103</v>
      </c>
      <c r="K40" s="15" t="s">
        <v>109</v>
      </c>
      <c r="L40" s="15" t="s">
        <v>33</v>
      </c>
      <c r="M40" s="15" t="s">
        <v>34</v>
      </c>
      <c r="N40" s="19">
        <v>385255667</v>
      </c>
      <c r="O40" s="7"/>
      <c r="P40" s="7"/>
      <c r="Q40" s="7"/>
      <c r="R40" s="7"/>
      <c r="S40" s="4" t="str">
        <f t="shared" ref="S40:U40" si="42">IF(V40&gt;0,"Có","Không")</f>
        <v>Không</v>
      </c>
      <c r="T40" s="4" t="str">
        <f t="shared" si="42"/>
        <v>Không</v>
      </c>
      <c r="U40" s="4" t="str">
        <f t="shared" si="42"/>
        <v>Không</v>
      </c>
      <c r="V40" s="8"/>
      <c r="W40" s="8"/>
      <c r="X40" s="8"/>
      <c r="Y40" s="8"/>
      <c r="Z40" s="4" t="str">
        <f t="shared" si="19"/>
        <v>Không thực hiện</v>
      </c>
      <c r="AA40" s="2" t="e">
        <f t="shared" ca="1" si="2"/>
        <v>#NAME?</v>
      </c>
      <c r="AB40" s="47"/>
      <c r="AC40" s="17"/>
      <c r="AD40" s="17"/>
      <c r="AE40" s="17"/>
      <c r="AF40" s="17"/>
      <c r="AG40" s="17"/>
      <c r="AH40" s="17"/>
      <c r="AI40" s="17"/>
      <c r="AJ40" s="17"/>
      <c r="AK40" s="17"/>
      <c r="AL40" s="17"/>
    </row>
    <row r="41" spans="1:38" ht="15.75" customHeight="1" x14ac:dyDescent="0.25">
      <c r="A41" s="45">
        <f t="shared" si="26"/>
        <v>40</v>
      </c>
      <c r="B41" s="15" t="s">
        <v>27</v>
      </c>
      <c r="C41" s="15" t="s">
        <v>28</v>
      </c>
      <c r="D41" s="16">
        <v>29</v>
      </c>
      <c r="E41" s="16">
        <v>10</v>
      </c>
      <c r="F41" s="1">
        <v>2026</v>
      </c>
      <c r="G41" s="15" t="s">
        <v>29</v>
      </c>
      <c r="H41" s="15" t="s">
        <v>126</v>
      </c>
      <c r="I41" s="15" t="s">
        <v>63</v>
      </c>
      <c r="J41" s="15" t="s">
        <v>63</v>
      </c>
      <c r="K41" s="15" t="s">
        <v>105</v>
      </c>
      <c r="L41" s="15" t="s">
        <v>33</v>
      </c>
      <c r="M41" s="15" t="s">
        <v>34</v>
      </c>
      <c r="N41" s="20">
        <v>385255667</v>
      </c>
      <c r="O41" s="7"/>
      <c r="P41" s="7"/>
      <c r="Q41" s="7"/>
      <c r="R41" s="7"/>
      <c r="S41" s="4" t="str">
        <f t="shared" ref="S41:U41" si="43">IF(V41&gt;0,"Có","Không")</f>
        <v>Không</v>
      </c>
      <c r="T41" s="4" t="str">
        <f t="shared" si="43"/>
        <v>Không</v>
      </c>
      <c r="U41" s="4" t="str">
        <f t="shared" si="43"/>
        <v>Không</v>
      </c>
      <c r="V41" s="8"/>
      <c r="W41" s="8"/>
      <c r="X41" s="8"/>
      <c r="Y41" s="8"/>
      <c r="Z41" s="4" t="str">
        <f t="shared" si="19"/>
        <v>Không thực hiện</v>
      </c>
      <c r="AA41" s="2" t="e">
        <f t="shared" ca="1" si="2"/>
        <v>#NAME?</v>
      </c>
      <c r="AB41" s="47"/>
      <c r="AC41" s="17"/>
      <c r="AD41" s="17"/>
      <c r="AE41" s="17"/>
      <c r="AF41" s="17"/>
      <c r="AG41" s="17"/>
      <c r="AH41" s="17"/>
      <c r="AI41" s="17"/>
      <c r="AJ41" s="17"/>
      <c r="AK41" s="17"/>
      <c r="AL41" s="17"/>
    </row>
    <row r="42" spans="1:38" ht="15.75" customHeight="1" x14ac:dyDescent="0.25">
      <c r="A42" s="45">
        <f t="shared" si="26"/>
        <v>41</v>
      </c>
      <c r="B42" s="15" t="s">
        <v>27</v>
      </c>
      <c r="C42" s="15" t="s">
        <v>28</v>
      </c>
      <c r="D42" s="16">
        <v>5</v>
      </c>
      <c r="E42" s="16">
        <v>11</v>
      </c>
      <c r="F42" s="1">
        <v>2026</v>
      </c>
      <c r="G42" s="15" t="s">
        <v>29</v>
      </c>
      <c r="H42" s="15" t="s">
        <v>127</v>
      </c>
      <c r="I42" s="15" t="s">
        <v>85</v>
      </c>
      <c r="J42" s="15" t="s">
        <v>85</v>
      </c>
      <c r="K42" s="15" t="s">
        <v>105</v>
      </c>
      <c r="L42" s="15" t="s">
        <v>33</v>
      </c>
      <c r="M42" s="15" t="s">
        <v>34</v>
      </c>
      <c r="N42" s="19">
        <v>385255667</v>
      </c>
      <c r="O42" s="7"/>
      <c r="P42" s="7"/>
      <c r="Q42" s="7"/>
      <c r="R42" s="7"/>
      <c r="S42" s="4" t="str">
        <f t="shared" ref="S42:U42" si="44">IF(V42&gt;0,"Có","Không")</f>
        <v>Không</v>
      </c>
      <c r="T42" s="4" t="str">
        <f t="shared" si="44"/>
        <v>Không</v>
      </c>
      <c r="U42" s="4" t="str">
        <f t="shared" si="44"/>
        <v>Không</v>
      </c>
      <c r="V42" s="8"/>
      <c r="W42" s="8"/>
      <c r="X42" s="8"/>
      <c r="Y42" s="8"/>
      <c r="Z42" s="4" t="str">
        <f t="shared" si="19"/>
        <v>Không thực hiện</v>
      </c>
      <c r="AA42" s="2" t="e">
        <f t="shared" ca="1" si="2"/>
        <v>#NAME?</v>
      </c>
      <c r="AB42" s="47"/>
      <c r="AC42" s="17"/>
      <c r="AD42" s="17"/>
      <c r="AE42" s="17"/>
      <c r="AF42" s="17"/>
      <c r="AG42" s="17"/>
      <c r="AH42" s="17"/>
      <c r="AI42" s="17"/>
      <c r="AJ42" s="17"/>
      <c r="AK42" s="17"/>
      <c r="AL42" s="17"/>
    </row>
    <row r="43" spans="1:38" ht="15.75" customHeight="1" x14ac:dyDescent="0.25">
      <c r="A43" s="45">
        <f t="shared" si="26"/>
        <v>42</v>
      </c>
      <c r="B43" s="15" t="s">
        <v>27</v>
      </c>
      <c r="C43" s="15" t="s">
        <v>28</v>
      </c>
      <c r="D43" s="16">
        <v>12</v>
      </c>
      <c r="E43" s="16">
        <v>11</v>
      </c>
      <c r="F43" s="1">
        <v>2026</v>
      </c>
      <c r="G43" s="15" t="s">
        <v>29</v>
      </c>
      <c r="H43" s="15" t="s">
        <v>128</v>
      </c>
      <c r="I43" s="15" t="s">
        <v>92</v>
      </c>
      <c r="J43" s="15" t="s">
        <v>92</v>
      </c>
      <c r="K43" s="15" t="s">
        <v>109</v>
      </c>
      <c r="L43" s="15" t="s">
        <v>33</v>
      </c>
      <c r="M43" s="15" t="s">
        <v>34</v>
      </c>
      <c r="N43" s="20">
        <v>385255667</v>
      </c>
      <c r="O43" s="7"/>
      <c r="P43" s="7"/>
      <c r="Q43" s="7"/>
      <c r="R43" s="7"/>
      <c r="S43" s="4" t="str">
        <f t="shared" ref="S43:U43" si="45">IF(V43&gt;0,"Có","Không")</f>
        <v>Không</v>
      </c>
      <c r="T43" s="4" t="str">
        <f t="shared" si="45"/>
        <v>Không</v>
      </c>
      <c r="U43" s="4" t="str">
        <f t="shared" si="45"/>
        <v>Không</v>
      </c>
      <c r="V43" s="8"/>
      <c r="W43" s="8"/>
      <c r="X43" s="8"/>
      <c r="Y43" s="8"/>
      <c r="Z43" s="4" t="str">
        <f t="shared" si="19"/>
        <v>Không thực hiện</v>
      </c>
      <c r="AA43" s="2" t="e">
        <f t="shared" ca="1" si="2"/>
        <v>#NAME?</v>
      </c>
      <c r="AB43" s="47"/>
      <c r="AC43" s="17"/>
      <c r="AD43" s="17"/>
      <c r="AE43" s="17"/>
      <c r="AF43" s="17"/>
      <c r="AG43" s="17"/>
      <c r="AH43" s="17"/>
      <c r="AI43" s="17"/>
      <c r="AJ43" s="17"/>
      <c r="AK43" s="17"/>
      <c r="AL43" s="17"/>
    </row>
    <row r="44" spans="1:38" ht="15.75" customHeight="1" x14ac:dyDescent="0.25">
      <c r="A44" s="45">
        <f t="shared" si="26"/>
        <v>43</v>
      </c>
      <c r="B44" s="15" t="s">
        <v>27</v>
      </c>
      <c r="C44" s="15" t="s">
        <v>28</v>
      </c>
      <c r="D44" s="16">
        <v>19</v>
      </c>
      <c r="E44" s="16">
        <v>11</v>
      </c>
      <c r="F44" s="1">
        <v>2026</v>
      </c>
      <c r="G44" s="15" t="s">
        <v>29</v>
      </c>
      <c r="H44" s="15" t="s">
        <v>129</v>
      </c>
      <c r="I44" s="15" t="s">
        <v>117</v>
      </c>
      <c r="J44" s="15" t="s">
        <v>117</v>
      </c>
      <c r="K44" s="15" t="s">
        <v>105</v>
      </c>
      <c r="L44" s="15" t="s">
        <v>33</v>
      </c>
      <c r="M44" s="15" t="s">
        <v>34</v>
      </c>
      <c r="N44" s="19">
        <v>385255667</v>
      </c>
      <c r="O44" s="7"/>
      <c r="P44" s="7"/>
      <c r="Q44" s="7"/>
      <c r="R44" s="7"/>
      <c r="S44" s="4" t="str">
        <f t="shared" ref="S44:U44" si="46">IF(V44&gt;0,"Có","Không")</f>
        <v>Không</v>
      </c>
      <c r="T44" s="4" t="str">
        <f t="shared" si="46"/>
        <v>Không</v>
      </c>
      <c r="U44" s="4" t="str">
        <f t="shared" si="46"/>
        <v>Không</v>
      </c>
      <c r="V44" s="8"/>
      <c r="W44" s="8"/>
      <c r="X44" s="8"/>
      <c r="Y44" s="8"/>
      <c r="Z44" s="4" t="str">
        <f t="shared" si="19"/>
        <v>Không thực hiện</v>
      </c>
      <c r="AA44" s="2" t="e">
        <f t="shared" ca="1" si="2"/>
        <v>#NAME?</v>
      </c>
      <c r="AB44" s="47"/>
      <c r="AC44" s="17"/>
      <c r="AD44" s="17"/>
      <c r="AE44" s="17"/>
      <c r="AF44" s="17"/>
      <c r="AG44" s="17"/>
      <c r="AH44" s="17"/>
      <c r="AI44" s="17"/>
      <c r="AJ44" s="17"/>
      <c r="AK44" s="17"/>
      <c r="AL44" s="17"/>
    </row>
    <row r="45" spans="1:38" ht="15.75" customHeight="1" x14ac:dyDescent="0.25">
      <c r="A45" s="45">
        <f t="shared" si="26"/>
        <v>44</v>
      </c>
      <c r="B45" s="15" t="s">
        <v>27</v>
      </c>
      <c r="C45" s="15" t="s">
        <v>28</v>
      </c>
      <c r="D45" s="16">
        <v>26</v>
      </c>
      <c r="E45" s="16">
        <v>11</v>
      </c>
      <c r="F45" s="1">
        <v>2026</v>
      </c>
      <c r="G45" s="15" t="s">
        <v>29</v>
      </c>
      <c r="H45" s="15" t="s">
        <v>130</v>
      </c>
      <c r="I45" s="15" t="s">
        <v>131</v>
      </c>
      <c r="J45" s="15" t="s">
        <v>131</v>
      </c>
      <c r="K45" s="15" t="s">
        <v>109</v>
      </c>
      <c r="L45" s="15" t="s">
        <v>33</v>
      </c>
      <c r="M45" s="15" t="s">
        <v>34</v>
      </c>
      <c r="N45" s="20">
        <v>385255667</v>
      </c>
      <c r="O45" s="7"/>
      <c r="P45" s="7"/>
      <c r="Q45" s="7"/>
      <c r="R45" s="7"/>
      <c r="S45" s="4" t="str">
        <f t="shared" ref="S45:U45" si="47">IF(V45&gt;0,"Có","Không")</f>
        <v>Không</v>
      </c>
      <c r="T45" s="4" t="str">
        <f t="shared" si="47"/>
        <v>Không</v>
      </c>
      <c r="U45" s="4" t="str">
        <f t="shared" si="47"/>
        <v>Không</v>
      </c>
      <c r="V45" s="8"/>
      <c r="W45" s="8"/>
      <c r="X45" s="8"/>
      <c r="Y45" s="8"/>
      <c r="Z45" s="4" t="str">
        <f t="shared" si="19"/>
        <v>Không thực hiện</v>
      </c>
      <c r="AA45" s="2" t="e">
        <f t="shared" ca="1" si="2"/>
        <v>#NAME?</v>
      </c>
      <c r="AB45" s="47"/>
      <c r="AC45" s="17"/>
      <c r="AD45" s="17"/>
      <c r="AE45" s="17"/>
      <c r="AF45" s="17"/>
      <c r="AG45" s="17"/>
      <c r="AH45" s="17"/>
      <c r="AI45" s="17"/>
      <c r="AJ45" s="17"/>
      <c r="AK45" s="17"/>
      <c r="AL45" s="17"/>
    </row>
    <row r="46" spans="1:38" ht="15.75" customHeight="1" x14ac:dyDescent="0.25">
      <c r="A46" s="45">
        <f t="shared" si="26"/>
        <v>45</v>
      </c>
      <c r="B46" s="15" t="s">
        <v>27</v>
      </c>
      <c r="C46" s="15" t="s">
        <v>28</v>
      </c>
      <c r="D46" s="16">
        <v>3</v>
      </c>
      <c r="E46" s="16">
        <v>12</v>
      </c>
      <c r="F46" s="1">
        <v>2026</v>
      </c>
      <c r="G46" s="15" t="s">
        <v>29</v>
      </c>
      <c r="H46" s="15" t="s">
        <v>132</v>
      </c>
      <c r="I46" s="15" t="s">
        <v>53</v>
      </c>
      <c r="J46" s="15" t="s">
        <v>53</v>
      </c>
      <c r="K46" s="15" t="s">
        <v>105</v>
      </c>
      <c r="L46" s="15" t="s">
        <v>33</v>
      </c>
      <c r="M46" s="15" t="s">
        <v>34</v>
      </c>
      <c r="N46" s="19">
        <v>385255667</v>
      </c>
      <c r="O46" s="7"/>
      <c r="P46" s="7"/>
      <c r="Q46" s="7"/>
      <c r="R46" s="7"/>
      <c r="S46" s="4" t="str">
        <f t="shared" ref="S46:U46" si="48">IF(V46&gt;0,"Có","Không")</f>
        <v>Không</v>
      </c>
      <c r="T46" s="4" t="str">
        <f t="shared" si="48"/>
        <v>Không</v>
      </c>
      <c r="U46" s="4" t="str">
        <f t="shared" si="48"/>
        <v>Không</v>
      </c>
      <c r="V46" s="8"/>
      <c r="W46" s="8"/>
      <c r="X46" s="8"/>
      <c r="Y46" s="8"/>
      <c r="Z46" s="4" t="str">
        <f t="shared" si="19"/>
        <v>Không thực hiện</v>
      </c>
      <c r="AA46" s="2" t="e">
        <f t="shared" ca="1" si="2"/>
        <v>#NAME?</v>
      </c>
      <c r="AB46" s="47"/>
      <c r="AC46" s="17"/>
      <c r="AD46" s="17"/>
      <c r="AE46" s="17"/>
      <c r="AF46" s="17"/>
      <c r="AG46" s="17"/>
      <c r="AH46" s="17"/>
      <c r="AI46" s="17"/>
      <c r="AJ46" s="17"/>
      <c r="AK46" s="17"/>
      <c r="AL46" s="17"/>
    </row>
    <row r="47" spans="1:38" ht="15.75" customHeight="1" x14ac:dyDescent="0.25">
      <c r="A47" s="45">
        <f t="shared" si="26"/>
        <v>46</v>
      </c>
      <c r="B47" s="15" t="s">
        <v>27</v>
      </c>
      <c r="C47" s="15" t="s">
        <v>28</v>
      </c>
      <c r="D47" s="16">
        <v>10</v>
      </c>
      <c r="E47" s="16">
        <v>12</v>
      </c>
      <c r="F47" s="1">
        <v>2026</v>
      </c>
      <c r="G47" s="15" t="s">
        <v>29</v>
      </c>
      <c r="H47" s="15" t="s">
        <v>133</v>
      </c>
      <c r="I47" s="15" t="s">
        <v>47</v>
      </c>
      <c r="J47" s="15" t="s">
        <v>47</v>
      </c>
      <c r="K47" s="15" t="s">
        <v>105</v>
      </c>
      <c r="L47" s="15" t="s">
        <v>33</v>
      </c>
      <c r="M47" s="15" t="s">
        <v>34</v>
      </c>
      <c r="N47" s="15">
        <v>385255667</v>
      </c>
      <c r="O47" s="7"/>
      <c r="P47" s="7"/>
      <c r="Q47" s="7"/>
      <c r="R47" s="7"/>
      <c r="S47" s="4" t="str">
        <f t="shared" ref="S47:U47" si="49">IF(V47&gt;0,"Có","Không")</f>
        <v>Không</v>
      </c>
      <c r="T47" s="4" t="str">
        <f t="shared" si="49"/>
        <v>Không</v>
      </c>
      <c r="U47" s="4" t="str">
        <f t="shared" si="49"/>
        <v>Không</v>
      </c>
      <c r="V47" s="8"/>
      <c r="W47" s="8"/>
      <c r="X47" s="8"/>
      <c r="Y47" s="8"/>
      <c r="Z47" s="4" t="str">
        <f t="shared" si="19"/>
        <v>Không thực hiện</v>
      </c>
      <c r="AA47" s="2" t="e">
        <f t="shared" ca="1" si="2"/>
        <v>#NAME?</v>
      </c>
      <c r="AB47" s="47"/>
      <c r="AC47" s="17"/>
      <c r="AD47" s="17"/>
      <c r="AE47" s="17"/>
      <c r="AF47" s="17"/>
      <c r="AG47" s="17"/>
      <c r="AH47" s="17"/>
      <c r="AI47" s="17"/>
      <c r="AJ47" s="17"/>
      <c r="AK47" s="17"/>
      <c r="AL47" s="17"/>
    </row>
    <row r="48" spans="1:38" ht="15.75" customHeight="1" x14ac:dyDescent="0.25">
      <c r="A48" s="55">
        <f t="shared" si="26"/>
        <v>47</v>
      </c>
      <c r="B48" s="56" t="s">
        <v>27</v>
      </c>
      <c r="C48" s="56" t="s">
        <v>28</v>
      </c>
      <c r="D48" s="57">
        <v>17</v>
      </c>
      <c r="E48" s="57">
        <v>12</v>
      </c>
      <c r="F48" s="58">
        <v>2026</v>
      </c>
      <c r="G48" s="56" t="s">
        <v>29</v>
      </c>
      <c r="H48" s="56" t="s">
        <v>134</v>
      </c>
      <c r="I48" s="56" t="s">
        <v>135</v>
      </c>
      <c r="J48" s="56" t="s">
        <v>135</v>
      </c>
      <c r="K48" s="56" t="s">
        <v>109</v>
      </c>
      <c r="L48" s="56" t="s">
        <v>33</v>
      </c>
      <c r="M48" s="56" t="s">
        <v>34</v>
      </c>
      <c r="N48" s="56">
        <v>385255667</v>
      </c>
      <c r="O48" s="59"/>
      <c r="P48" s="59"/>
      <c r="Q48" s="59"/>
      <c r="R48" s="59"/>
      <c r="S48" s="60" t="str">
        <f t="shared" ref="S48:U48" si="50">IF(V48&gt;0,"Có","Không")</f>
        <v>Không</v>
      </c>
      <c r="T48" s="60" t="str">
        <f t="shared" si="50"/>
        <v>Không</v>
      </c>
      <c r="U48" s="60" t="str">
        <f t="shared" si="50"/>
        <v>Không</v>
      </c>
      <c r="V48" s="61"/>
      <c r="W48" s="61"/>
      <c r="X48" s="61"/>
      <c r="Y48" s="61"/>
      <c r="Z48" s="60" t="str">
        <f t="shared" si="19"/>
        <v>Không thực hiện</v>
      </c>
      <c r="AA48" s="62" t="e">
        <f t="shared" ca="1" si="2"/>
        <v>#NAME?</v>
      </c>
      <c r="AB48" s="63"/>
      <c r="AC48" s="17"/>
      <c r="AD48" s="17"/>
      <c r="AE48" s="17"/>
      <c r="AF48" s="17"/>
      <c r="AG48" s="17"/>
      <c r="AH48" s="17"/>
      <c r="AI48" s="17"/>
      <c r="AJ48" s="17"/>
      <c r="AK48" s="17"/>
      <c r="AL48" s="17"/>
    </row>
    <row r="49" spans="7:8" ht="15.75" customHeight="1" x14ac:dyDescent="0.25">
      <c r="G49" s="21"/>
      <c r="H49" s="21"/>
    </row>
    <row r="50" spans="7:8" ht="15.75" customHeight="1" x14ac:dyDescent="0.25">
      <c r="G50" s="21"/>
      <c r="H50" s="21"/>
    </row>
    <row r="51" spans="7:8" ht="15.75" customHeight="1" x14ac:dyDescent="0.25">
      <c r="G51" s="21"/>
      <c r="H51" s="21"/>
    </row>
    <row r="52" spans="7:8" ht="15.75" customHeight="1" x14ac:dyDescent="0.25">
      <c r="G52" s="21"/>
      <c r="H52" s="21"/>
    </row>
    <row r="53" spans="7:8" ht="15.75" customHeight="1" x14ac:dyDescent="0.25">
      <c r="G53" s="21"/>
      <c r="H53" s="21"/>
    </row>
    <row r="54" spans="7:8" ht="15.75" customHeight="1" x14ac:dyDescent="0.25">
      <c r="G54" s="21"/>
      <c r="H54" s="21"/>
    </row>
    <row r="55" spans="7:8" ht="15.75" customHeight="1" x14ac:dyDescent="0.25">
      <c r="G55" s="21"/>
      <c r="H55" s="21"/>
    </row>
    <row r="56" spans="7:8" ht="15.75" customHeight="1" x14ac:dyDescent="0.25">
      <c r="G56" s="21"/>
      <c r="H56" s="21"/>
    </row>
    <row r="57" spans="7:8" ht="15.75" customHeight="1" x14ac:dyDescent="0.25">
      <c r="G57" s="21"/>
      <c r="H57" s="21"/>
    </row>
    <row r="58" spans="7:8" ht="15.75" customHeight="1" x14ac:dyDescent="0.25">
      <c r="G58" s="21"/>
      <c r="H58" s="21"/>
    </row>
    <row r="59" spans="7:8" ht="15.75" customHeight="1" x14ac:dyDescent="0.25">
      <c r="G59" s="21"/>
      <c r="H59" s="21"/>
    </row>
    <row r="60" spans="7:8" ht="15.75" customHeight="1" x14ac:dyDescent="0.25">
      <c r="G60" s="21"/>
      <c r="H60" s="21"/>
    </row>
    <row r="61" spans="7:8" ht="15.75" customHeight="1" x14ac:dyDescent="0.25">
      <c r="G61" s="21"/>
      <c r="H61" s="21"/>
    </row>
    <row r="62" spans="7:8" ht="15.75" customHeight="1" x14ac:dyDescent="0.25">
      <c r="G62" s="21"/>
      <c r="H62" s="21"/>
    </row>
    <row r="63" spans="7:8" ht="15.75" customHeight="1" x14ac:dyDescent="0.25">
      <c r="G63" s="21"/>
      <c r="H63" s="21"/>
    </row>
    <row r="64" spans="7:8" ht="15.75" customHeight="1" x14ac:dyDescent="0.25">
      <c r="G64" s="21"/>
      <c r="H64" s="21"/>
    </row>
    <row r="65" spans="7:8" ht="15.75" customHeight="1" x14ac:dyDescent="0.25">
      <c r="G65" s="21"/>
      <c r="H65" s="21"/>
    </row>
    <row r="66" spans="7:8" ht="15.75" customHeight="1" x14ac:dyDescent="0.25">
      <c r="G66" s="21"/>
      <c r="H66" s="21"/>
    </row>
    <row r="67" spans="7:8" ht="15.75" customHeight="1" x14ac:dyDescent="0.25">
      <c r="G67" s="21"/>
      <c r="H67" s="21"/>
    </row>
    <row r="68" spans="7:8" ht="15.75" customHeight="1" x14ac:dyDescent="0.25">
      <c r="G68" s="21"/>
      <c r="H68" s="21"/>
    </row>
    <row r="69" spans="7:8" ht="15.75" customHeight="1" x14ac:dyDescent="0.25">
      <c r="G69" s="21"/>
      <c r="H69" s="21"/>
    </row>
    <row r="70" spans="7:8" ht="15.75" customHeight="1" x14ac:dyDescent="0.25">
      <c r="G70" s="21"/>
      <c r="H70" s="21"/>
    </row>
    <row r="71" spans="7:8" ht="15.75" customHeight="1" x14ac:dyDescent="0.25">
      <c r="G71" s="21"/>
      <c r="H71" s="21"/>
    </row>
    <row r="72" spans="7:8" ht="15.75" customHeight="1" x14ac:dyDescent="0.25">
      <c r="G72" s="21"/>
      <c r="H72" s="21"/>
    </row>
    <row r="73" spans="7:8" ht="15.75" customHeight="1" x14ac:dyDescent="0.25">
      <c r="G73" s="21"/>
      <c r="H73" s="21"/>
    </row>
    <row r="74" spans="7:8" ht="15.75" customHeight="1" x14ac:dyDescent="0.25">
      <c r="G74" s="21"/>
      <c r="H74" s="21"/>
    </row>
    <row r="75" spans="7:8" ht="15.75" customHeight="1" x14ac:dyDescent="0.25">
      <c r="G75" s="21"/>
      <c r="H75" s="21"/>
    </row>
    <row r="76" spans="7:8" ht="15.75" customHeight="1" x14ac:dyDescent="0.25">
      <c r="G76" s="21"/>
      <c r="H76" s="21"/>
    </row>
    <row r="77" spans="7:8" ht="15.75" customHeight="1" x14ac:dyDescent="0.25">
      <c r="G77" s="21"/>
      <c r="H77" s="21"/>
    </row>
    <row r="78" spans="7:8" ht="15.75" customHeight="1" x14ac:dyDescent="0.25">
      <c r="G78" s="21"/>
      <c r="H78" s="21"/>
    </row>
    <row r="79" spans="7:8" ht="15.75" customHeight="1" x14ac:dyDescent="0.25">
      <c r="G79" s="21"/>
      <c r="H79" s="21"/>
    </row>
    <row r="80" spans="7:8" ht="15.75" customHeight="1" x14ac:dyDescent="0.25">
      <c r="G80" s="21"/>
      <c r="H80" s="21"/>
    </row>
    <row r="81" spans="7:8" ht="15.75" customHeight="1" x14ac:dyDescent="0.25">
      <c r="G81" s="21"/>
      <c r="H81" s="21"/>
    </row>
    <row r="82" spans="7:8" ht="15.75" customHeight="1" x14ac:dyDescent="0.25">
      <c r="G82" s="21"/>
      <c r="H82" s="21"/>
    </row>
    <row r="83" spans="7:8" ht="15.75" customHeight="1" x14ac:dyDescent="0.25">
      <c r="G83" s="21"/>
      <c r="H83" s="21"/>
    </row>
    <row r="84" spans="7:8" ht="15.75" customHeight="1" x14ac:dyDescent="0.25">
      <c r="G84" s="21"/>
      <c r="H84" s="21"/>
    </row>
    <row r="85" spans="7:8" ht="15.75" customHeight="1" x14ac:dyDescent="0.25">
      <c r="G85" s="21"/>
      <c r="H85" s="21"/>
    </row>
    <row r="86" spans="7:8" ht="15.75" customHeight="1" x14ac:dyDescent="0.25">
      <c r="G86" s="21"/>
      <c r="H86" s="21"/>
    </row>
    <row r="87" spans="7:8" ht="15.75" customHeight="1" x14ac:dyDescent="0.25">
      <c r="G87" s="21"/>
      <c r="H87" s="21"/>
    </row>
    <row r="88" spans="7:8" ht="15.75" customHeight="1" x14ac:dyDescent="0.25">
      <c r="G88" s="21"/>
      <c r="H88" s="21"/>
    </row>
    <row r="89" spans="7:8" ht="15.75" customHeight="1" x14ac:dyDescent="0.25">
      <c r="G89" s="21"/>
      <c r="H89" s="21"/>
    </row>
    <row r="90" spans="7:8" ht="15.75" customHeight="1" x14ac:dyDescent="0.25">
      <c r="G90" s="21"/>
      <c r="H90" s="21"/>
    </row>
    <row r="91" spans="7:8" ht="15.75" customHeight="1" x14ac:dyDescent="0.25">
      <c r="G91" s="21"/>
      <c r="H91" s="21"/>
    </row>
    <row r="92" spans="7:8" ht="15.75" customHeight="1" x14ac:dyDescent="0.25">
      <c r="G92" s="21"/>
      <c r="H92" s="21"/>
    </row>
    <row r="93" spans="7:8" ht="15.75" customHeight="1" x14ac:dyDescent="0.25">
      <c r="G93" s="21"/>
      <c r="H93" s="21"/>
    </row>
    <row r="94" spans="7:8" ht="15.75" customHeight="1" x14ac:dyDescent="0.25">
      <c r="G94" s="21"/>
      <c r="H94" s="21"/>
    </row>
    <row r="95" spans="7:8" ht="15.75" customHeight="1" x14ac:dyDescent="0.25">
      <c r="G95" s="21"/>
      <c r="H95" s="21"/>
    </row>
    <row r="96" spans="7:8" ht="15.75" customHeight="1" x14ac:dyDescent="0.25">
      <c r="G96" s="21"/>
      <c r="H96" s="21"/>
    </row>
    <row r="97" spans="7:8" ht="15.75" customHeight="1" x14ac:dyDescent="0.25">
      <c r="G97" s="21"/>
      <c r="H97" s="21"/>
    </row>
    <row r="98" spans="7:8" ht="15.75" customHeight="1" x14ac:dyDescent="0.25">
      <c r="G98" s="21"/>
      <c r="H98" s="21"/>
    </row>
    <row r="99" spans="7:8" ht="15.75" customHeight="1" x14ac:dyDescent="0.25">
      <c r="G99" s="21"/>
      <c r="H99" s="21"/>
    </row>
    <row r="100" spans="7:8" ht="15.75" customHeight="1" x14ac:dyDescent="0.25">
      <c r="G100" s="21"/>
      <c r="H100" s="21"/>
    </row>
    <row r="101" spans="7:8" ht="15.75" customHeight="1" x14ac:dyDescent="0.25">
      <c r="G101" s="21"/>
      <c r="H101" s="21"/>
    </row>
    <row r="102" spans="7:8" ht="15.75" customHeight="1" x14ac:dyDescent="0.25">
      <c r="G102" s="21"/>
      <c r="H102" s="21"/>
    </row>
    <row r="103" spans="7:8" ht="15.75" customHeight="1" x14ac:dyDescent="0.25">
      <c r="G103" s="21"/>
      <c r="H103" s="21"/>
    </row>
    <row r="104" spans="7:8" ht="15.75" customHeight="1" x14ac:dyDescent="0.25">
      <c r="G104" s="21"/>
      <c r="H104" s="21"/>
    </row>
    <row r="105" spans="7:8" ht="15.75" customHeight="1" x14ac:dyDescent="0.25">
      <c r="G105" s="21"/>
      <c r="H105" s="21"/>
    </row>
    <row r="106" spans="7:8" ht="15.75" customHeight="1" x14ac:dyDescent="0.25">
      <c r="G106" s="21"/>
      <c r="H106" s="21"/>
    </row>
    <row r="107" spans="7:8" ht="15.75" customHeight="1" x14ac:dyDescent="0.25">
      <c r="G107" s="21"/>
      <c r="H107" s="21"/>
    </row>
    <row r="108" spans="7:8" ht="15.75" customHeight="1" x14ac:dyDescent="0.25">
      <c r="G108" s="21"/>
      <c r="H108" s="21"/>
    </row>
    <row r="109" spans="7:8" ht="15.75" customHeight="1" x14ac:dyDescent="0.25">
      <c r="G109" s="21"/>
      <c r="H109" s="21"/>
    </row>
    <row r="110" spans="7:8" ht="15.75" customHeight="1" x14ac:dyDescent="0.25">
      <c r="G110" s="21"/>
      <c r="H110" s="21"/>
    </row>
    <row r="111" spans="7:8" ht="15.75" customHeight="1" x14ac:dyDescent="0.25">
      <c r="G111" s="21"/>
      <c r="H111" s="21"/>
    </row>
    <row r="112" spans="7:8" ht="15.75" customHeight="1" x14ac:dyDescent="0.25">
      <c r="G112" s="21"/>
      <c r="H112" s="21"/>
    </row>
    <row r="113" spans="7:8" ht="15.75" customHeight="1" x14ac:dyDescent="0.25">
      <c r="G113" s="21"/>
      <c r="H113" s="21"/>
    </row>
    <row r="114" spans="7:8" ht="15.75" customHeight="1" x14ac:dyDescent="0.25">
      <c r="G114" s="21"/>
      <c r="H114" s="21"/>
    </row>
    <row r="115" spans="7:8" ht="15.75" customHeight="1" x14ac:dyDescent="0.25">
      <c r="G115" s="21"/>
      <c r="H115" s="21"/>
    </row>
    <row r="116" spans="7:8" ht="15.75" customHeight="1" x14ac:dyDescent="0.25">
      <c r="G116" s="21"/>
      <c r="H116" s="21"/>
    </row>
    <row r="117" spans="7:8" ht="15.75" customHeight="1" x14ac:dyDescent="0.25">
      <c r="G117" s="21"/>
      <c r="H117" s="21"/>
    </row>
    <row r="118" spans="7:8" ht="15.75" customHeight="1" x14ac:dyDescent="0.25">
      <c r="G118" s="21"/>
      <c r="H118" s="21"/>
    </row>
    <row r="119" spans="7:8" ht="15.75" customHeight="1" x14ac:dyDescent="0.25">
      <c r="G119" s="21"/>
      <c r="H119" s="21"/>
    </row>
    <row r="120" spans="7:8" ht="15.75" customHeight="1" x14ac:dyDescent="0.25">
      <c r="G120" s="21"/>
      <c r="H120" s="21"/>
    </row>
    <row r="121" spans="7:8" ht="15.75" customHeight="1" x14ac:dyDescent="0.25">
      <c r="G121" s="21"/>
      <c r="H121" s="21"/>
    </row>
    <row r="122" spans="7:8" ht="15.75" customHeight="1" x14ac:dyDescent="0.25">
      <c r="G122" s="21"/>
      <c r="H122" s="21"/>
    </row>
    <row r="123" spans="7:8" ht="15.75" customHeight="1" x14ac:dyDescent="0.25">
      <c r="G123" s="21"/>
      <c r="H123" s="21"/>
    </row>
    <row r="124" spans="7:8" ht="15.75" customHeight="1" x14ac:dyDescent="0.25">
      <c r="G124" s="21"/>
      <c r="H124" s="21"/>
    </row>
    <row r="125" spans="7:8" ht="15.75" customHeight="1" x14ac:dyDescent="0.25">
      <c r="G125" s="21"/>
      <c r="H125" s="21"/>
    </row>
    <row r="126" spans="7:8" ht="15.75" customHeight="1" x14ac:dyDescent="0.25">
      <c r="G126" s="21"/>
      <c r="H126" s="21"/>
    </row>
    <row r="127" spans="7:8" ht="15.75" customHeight="1" x14ac:dyDescent="0.25">
      <c r="G127" s="21"/>
      <c r="H127" s="21"/>
    </row>
    <row r="128" spans="7:8" ht="15.75" customHeight="1" x14ac:dyDescent="0.25">
      <c r="G128" s="21"/>
      <c r="H128" s="21"/>
    </row>
    <row r="129" spans="7:8" ht="15.75" customHeight="1" x14ac:dyDescent="0.25">
      <c r="G129" s="21"/>
      <c r="H129" s="21"/>
    </row>
    <row r="130" spans="7:8" ht="15.75" customHeight="1" x14ac:dyDescent="0.25">
      <c r="G130" s="21"/>
      <c r="H130" s="21"/>
    </row>
    <row r="131" spans="7:8" ht="15.75" customHeight="1" x14ac:dyDescent="0.25">
      <c r="G131" s="21"/>
      <c r="H131" s="21"/>
    </row>
    <row r="132" spans="7:8" ht="15.75" customHeight="1" x14ac:dyDescent="0.25">
      <c r="G132" s="21"/>
      <c r="H132" s="21"/>
    </row>
    <row r="133" spans="7:8" ht="15.75" customHeight="1" x14ac:dyDescent="0.25">
      <c r="G133" s="21"/>
      <c r="H133" s="21"/>
    </row>
    <row r="134" spans="7:8" ht="15.75" customHeight="1" x14ac:dyDescent="0.25">
      <c r="G134" s="21"/>
      <c r="H134" s="21"/>
    </row>
    <row r="135" spans="7:8" ht="15.75" customHeight="1" x14ac:dyDescent="0.25">
      <c r="G135" s="21"/>
      <c r="H135" s="21"/>
    </row>
    <row r="136" spans="7:8" ht="15.75" customHeight="1" x14ac:dyDescent="0.25">
      <c r="G136" s="21"/>
      <c r="H136" s="21"/>
    </row>
    <row r="137" spans="7:8" ht="15.75" customHeight="1" x14ac:dyDescent="0.25">
      <c r="G137" s="21"/>
      <c r="H137" s="21"/>
    </row>
    <row r="138" spans="7:8" ht="15.75" customHeight="1" x14ac:dyDescent="0.25">
      <c r="G138" s="21"/>
      <c r="H138" s="21"/>
    </row>
    <row r="139" spans="7:8" ht="15.75" customHeight="1" x14ac:dyDescent="0.25">
      <c r="G139" s="21"/>
      <c r="H139" s="21"/>
    </row>
    <row r="140" spans="7:8" ht="15.75" customHeight="1" x14ac:dyDescent="0.25">
      <c r="G140" s="21"/>
      <c r="H140" s="21"/>
    </row>
    <row r="141" spans="7:8" ht="15.75" customHeight="1" x14ac:dyDescent="0.25">
      <c r="G141" s="21"/>
      <c r="H141" s="21"/>
    </row>
    <row r="142" spans="7:8" ht="15.75" customHeight="1" x14ac:dyDescent="0.25">
      <c r="G142" s="21"/>
      <c r="H142" s="21"/>
    </row>
    <row r="143" spans="7:8" ht="15.75" customHeight="1" x14ac:dyDescent="0.25">
      <c r="G143" s="21"/>
      <c r="H143" s="21"/>
    </row>
    <row r="144" spans="7:8" ht="15.75" customHeight="1" x14ac:dyDescent="0.25">
      <c r="G144" s="21"/>
      <c r="H144" s="21"/>
    </row>
    <row r="145" spans="7:8" ht="15.75" customHeight="1" x14ac:dyDescent="0.25">
      <c r="G145" s="21"/>
      <c r="H145" s="21"/>
    </row>
    <row r="146" spans="7:8" ht="15.75" customHeight="1" x14ac:dyDescent="0.25">
      <c r="G146" s="21"/>
      <c r="H146" s="21"/>
    </row>
    <row r="147" spans="7:8" ht="15.75" customHeight="1" x14ac:dyDescent="0.25">
      <c r="G147" s="21"/>
      <c r="H147" s="21"/>
    </row>
    <row r="148" spans="7:8" ht="15.75" customHeight="1" x14ac:dyDescent="0.25">
      <c r="G148" s="21"/>
      <c r="H148" s="21"/>
    </row>
    <row r="149" spans="7:8" ht="15.75" customHeight="1" x14ac:dyDescent="0.25">
      <c r="G149" s="21"/>
      <c r="H149" s="21"/>
    </row>
    <row r="150" spans="7:8" ht="15.75" customHeight="1" x14ac:dyDescent="0.25">
      <c r="G150" s="21"/>
      <c r="H150" s="21"/>
    </row>
    <row r="151" spans="7:8" ht="15.75" customHeight="1" x14ac:dyDescent="0.25">
      <c r="G151" s="21"/>
      <c r="H151" s="21"/>
    </row>
    <row r="152" spans="7:8" ht="15.75" customHeight="1" x14ac:dyDescent="0.25">
      <c r="G152" s="21"/>
      <c r="H152" s="21"/>
    </row>
    <row r="153" spans="7:8" ht="15.75" customHeight="1" x14ac:dyDescent="0.25">
      <c r="G153" s="21"/>
      <c r="H153" s="21"/>
    </row>
    <row r="154" spans="7:8" ht="15.75" customHeight="1" x14ac:dyDescent="0.25">
      <c r="G154" s="21"/>
      <c r="H154" s="21"/>
    </row>
    <row r="155" spans="7:8" ht="15.75" customHeight="1" x14ac:dyDescent="0.25">
      <c r="G155" s="21"/>
      <c r="H155" s="21"/>
    </row>
    <row r="156" spans="7:8" ht="15.75" customHeight="1" x14ac:dyDescent="0.25">
      <c r="G156" s="21"/>
      <c r="H156" s="21"/>
    </row>
    <row r="157" spans="7:8" ht="15.75" customHeight="1" x14ac:dyDescent="0.25">
      <c r="G157" s="21"/>
      <c r="H157" s="21"/>
    </row>
    <row r="158" spans="7:8" ht="15.75" customHeight="1" x14ac:dyDescent="0.25">
      <c r="G158" s="21"/>
      <c r="H158" s="21"/>
    </row>
    <row r="159" spans="7:8" ht="15.75" customHeight="1" x14ac:dyDescent="0.25">
      <c r="G159" s="21"/>
      <c r="H159" s="21"/>
    </row>
    <row r="160" spans="7:8" ht="15.75" customHeight="1" x14ac:dyDescent="0.25">
      <c r="G160" s="21"/>
      <c r="H160" s="21"/>
    </row>
    <row r="161" spans="7:8" ht="15.75" customHeight="1" x14ac:dyDescent="0.25">
      <c r="G161" s="21"/>
      <c r="H161" s="21"/>
    </row>
    <row r="162" spans="7:8" ht="15.75" customHeight="1" x14ac:dyDescent="0.25">
      <c r="G162" s="21"/>
      <c r="H162" s="21"/>
    </row>
    <row r="163" spans="7:8" ht="15.75" customHeight="1" x14ac:dyDescent="0.25">
      <c r="G163" s="21"/>
      <c r="H163" s="21"/>
    </row>
    <row r="164" spans="7:8" ht="15.75" customHeight="1" x14ac:dyDescent="0.25">
      <c r="G164" s="21"/>
      <c r="H164" s="21"/>
    </row>
    <row r="165" spans="7:8" ht="15.75" customHeight="1" x14ac:dyDescent="0.25">
      <c r="G165" s="21"/>
      <c r="H165" s="21"/>
    </row>
    <row r="166" spans="7:8" ht="15.75" customHeight="1" x14ac:dyDescent="0.25">
      <c r="G166" s="21"/>
      <c r="H166" s="21"/>
    </row>
    <row r="167" spans="7:8" ht="15.75" customHeight="1" x14ac:dyDescent="0.25">
      <c r="G167" s="21"/>
      <c r="H167" s="21"/>
    </row>
    <row r="168" spans="7:8" ht="15.75" customHeight="1" x14ac:dyDescent="0.25">
      <c r="G168" s="21"/>
      <c r="H168" s="21"/>
    </row>
    <row r="169" spans="7:8" ht="15.75" customHeight="1" x14ac:dyDescent="0.25">
      <c r="G169" s="21"/>
      <c r="H169" s="21"/>
    </row>
    <row r="170" spans="7:8" ht="15.75" customHeight="1" x14ac:dyDescent="0.25">
      <c r="G170" s="21"/>
      <c r="H170" s="21"/>
    </row>
    <row r="171" spans="7:8" ht="15.75" customHeight="1" x14ac:dyDescent="0.25">
      <c r="G171" s="21"/>
      <c r="H171" s="21"/>
    </row>
    <row r="172" spans="7:8" ht="15.75" customHeight="1" x14ac:dyDescent="0.25">
      <c r="G172" s="21"/>
      <c r="H172" s="21"/>
    </row>
    <row r="173" spans="7:8" ht="15.75" customHeight="1" x14ac:dyDescent="0.25">
      <c r="G173" s="21"/>
      <c r="H173" s="21"/>
    </row>
    <row r="174" spans="7:8" ht="15.75" customHeight="1" x14ac:dyDescent="0.25">
      <c r="G174" s="21"/>
      <c r="H174" s="21"/>
    </row>
    <row r="175" spans="7:8" ht="15.75" customHeight="1" x14ac:dyDescent="0.25">
      <c r="G175" s="21"/>
      <c r="H175" s="21"/>
    </row>
    <row r="176" spans="7:8" ht="15.75" customHeight="1" x14ac:dyDescent="0.25">
      <c r="G176" s="21"/>
      <c r="H176" s="21"/>
    </row>
    <row r="177" spans="7:8" ht="15.75" customHeight="1" x14ac:dyDescent="0.25">
      <c r="G177" s="21"/>
      <c r="H177" s="21"/>
    </row>
    <row r="178" spans="7:8" ht="15.75" customHeight="1" x14ac:dyDescent="0.25">
      <c r="G178" s="21"/>
      <c r="H178" s="21"/>
    </row>
    <row r="179" spans="7:8" ht="15.75" customHeight="1" x14ac:dyDescent="0.25">
      <c r="G179" s="21"/>
      <c r="H179" s="21"/>
    </row>
    <row r="180" spans="7:8" ht="15.75" customHeight="1" x14ac:dyDescent="0.25">
      <c r="G180" s="21"/>
      <c r="H180" s="21"/>
    </row>
    <row r="181" spans="7:8" ht="15.75" customHeight="1" x14ac:dyDescent="0.25">
      <c r="G181" s="21"/>
      <c r="H181" s="21"/>
    </row>
    <row r="182" spans="7:8" ht="15.75" customHeight="1" x14ac:dyDescent="0.25">
      <c r="G182" s="21"/>
      <c r="H182" s="21"/>
    </row>
    <row r="183" spans="7:8" ht="15.75" customHeight="1" x14ac:dyDescent="0.25">
      <c r="G183" s="21"/>
      <c r="H183" s="21"/>
    </row>
    <row r="184" spans="7:8" ht="15.75" customHeight="1" x14ac:dyDescent="0.25">
      <c r="G184" s="21"/>
      <c r="H184" s="21"/>
    </row>
    <row r="185" spans="7:8" ht="15.75" customHeight="1" x14ac:dyDescent="0.25">
      <c r="G185" s="21"/>
      <c r="H185" s="21"/>
    </row>
    <row r="186" spans="7:8" ht="15.75" customHeight="1" x14ac:dyDescent="0.25">
      <c r="G186" s="21"/>
      <c r="H186" s="21"/>
    </row>
    <row r="187" spans="7:8" ht="15.75" customHeight="1" x14ac:dyDescent="0.25">
      <c r="G187" s="21"/>
      <c r="H187" s="21"/>
    </row>
    <row r="188" spans="7:8" ht="15.75" customHeight="1" x14ac:dyDescent="0.25">
      <c r="G188" s="21"/>
      <c r="H188" s="21"/>
    </row>
    <row r="189" spans="7:8" ht="15.75" customHeight="1" x14ac:dyDescent="0.25">
      <c r="G189" s="21"/>
      <c r="H189" s="21"/>
    </row>
    <row r="190" spans="7:8" ht="15.75" customHeight="1" x14ac:dyDescent="0.25">
      <c r="G190" s="21"/>
      <c r="H190" s="21"/>
    </row>
    <row r="191" spans="7:8" ht="15.75" customHeight="1" x14ac:dyDescent="0.25">
      <c r="G191" s="21"/>
      <c r="H191" s="21"/>
    </row>
    <row r="192" spans="7:8" ht="15.75" customHeight="1" x14ac:dyDescent="0.25">
      <c r="G192" s="21"/>
      <c r="H192" s="21"/>
    </row>
    <row r="193" spans="7:8" ht="15.75" customHeight="1" x14ac:dyDescent="0.25">
      <c r="G193" s="21"/>
      <c r="H193" s="21"/>
    </row>
    <row r="194" spans="7:8" ht="15.75" customHeight="1" x14ac:dyDescent="0.25">
      <c r="G194" s="21"/>
      <c r="H194" s="21"/>
    </row>
    <row r="195" spans="7:8" ht="15.75" customHeight="1" x14ac:dyDescent="0.25">
      <c r="G195" s="21"/>
      <c r="H195" s="21"/>
    </row>
    <row r="196" spans="7:8" ht="15.75" customHeight="1" x14ac:dyDescent="0.25">
      <c r="G196" s="21"/>
      <c r="H196" s="21"/>
    </row>
    <row r="197" spans="7:8" ht="15.75" customHeight="1" x14ac:dyDescent="0.25">
      <c r="G197" s="21"/>
      <c r="H197" s="21"/>
    </row>
    <row r="198" spans="7:8" ht="15.75" customHeight="1" x14ac:dyDescent="0.25">
      <c r="G198" s="21"/>
      <c r="H198" s="21"/>
    </row>
    <row r="199" spans="7:8" ht="15.75" customHeight="1" x14ac:dyDescent="0.25">
      <c r="G199" s="21"/>
      <c r="H199" s="21"/>
    </row>
    <row r="200" spans="7:8" ht="15.75" customHeight="1" x14ac:dyDescent="0.25">
      <c r="G200" s="21"/>
      <c r="H200" s="21"/>
    </row>
    <row r="201" spans="7:8" ht="15.75" customHeight="1" x14ac:dyDescent="0.25">
      <c r="G201" s="21"/>
      <c r="H201" s="21"/>
    </row>
    <row r="202" spans="7:8" ht="15.75" customHeight="1" x14ac:dyDescent="0.25">
      <c r="G202" s="21"/>
      <c r="H202" s="21"/>
    </row>
    <row r="203" spans="7:8" ht="15.75" customHeight="1" x14ac:dyDescent="0.25">
      <c r="G203" s="21"/>
      <c r="H203" s="21"/>
    </row>
    <row r="204" spans="7:8" ht="15.75" customHeight="1" x14ac:dyDescent="0.25">
      <c r="G204" s="21"/>
      <c r="H204" s="21"/>
    </row>
    <row r="205" spans="7:8" ht="15.75" customHeight="1" x14ac:dyDescent="0.25">
      <c r="G205" s="21"/>
      <c r="H205" s="21"/>
    </row>
    <row r="206" spans="7:8" ht="15.75" customHeight="1" x14ac:dyDescent="0.25">
      <c r="G206" s="21"/>
      <c r="H206" s="21"/>
    </row>
    <row r="207" spans="7:8" ht="15.75" customHeight="1" x14ac:dyDescent="0.25">
      <c r="G207" s="21"/>
      <c r="H207" s="21"/>
    </row>
    <row r="208" spans="7:8" ht="15.75" customHeight="1" x14ac:dyDescent="0.25">
      <c r="G208" s="21"/>
      <c r="H208" s="21"/>
    </row>
    <row r="209" spans="7:8" ht="15.75" customHeight="1" x14ac:dyDescent="0.25">
      <c r="G209" s="21"/>
      <c r="H209" s="21"/>
    </row>
    <row r="210" spans="7:8" ht="15.75" customHeight="1" x14ac:dyDescent="0.25">
      <c r="G210" s="21"/>
      <c r="H210" s="21"/>
    </row>
    <row r="211" spans="7:8" ht="15.75" customHeight="1" x14ac:dyDescent="0.25">
      <c r="G211" s="21"/>
      <c r="H211" s="21"/>
    </row>
    <row r="212" spans="7:8" ht="15.75" customHeight="1" x14ac:dyDescent="0.25">
      <c r="G212" s="21"/>
      <c r="H212" s="21"/>
    </row>
    <row r="213" spans="7:8" ht="15.75" customHeight="1" x14ac:dyDescent="0.25">
      <c r="G213" s="21"/>
      <c r="H213" s="21"/>
    </row>
    <row r="214" spans="7:8" ht="15.75" customHeight="1" x14ac:dyDescent="0.25">
      <c r="G214" s="21"/>
      <c r="H214" s="21"/>
    </row>
    <row r="215" spans="7:8" ht="15.75" customHeight="1" x14ac:dyDescent="0.25">
      <c r="G215" s="21"/>
      <c r="H215" s="21"/>
    </row>
    <row r="216" spans="7:8" ht="15.75" customHeight="1" x14ac:dyDescent="0.25">
      <c r="G216" s="21"/>
      <c r="H216" s="21"/>
    </row>
    <row r="217" spans="7:8" ht="15.75" customHeight="1" x14ac:dyDescent="0.25">
      <c r="G217" s="21"/>
      <c r="H217" s="21"/>
    </row>
    <row r="218" spans="7:8" ht="15.75" customHeight="1" x14ac:dyDescent="0.25">
      <c r="G218" s="21"/>
      <c r="H218" s="21"/>
    </row>
    <row r="219" spans="7:8" ht="15.75" customHeight="1" x14ac:dyDescent="0.25">
      <c r="G219" s="21"/>
      <c r="H219" s="21"/>
    </row>
    <row r="220" spans="7:8" ht="15.75" customHeight="1" x14ac:dyDescent="0.25">
      <c r="G220" s="21"/>
      <c r="H220" s="21"/>
    </row>
    <row r="221" spans="7:8" ht="15.75" customHeight="1" x14ac:dyDescent="0.25">
      <c r="G221" s="21"/>
      <c r="H221" s="21"/>
    </row>
    <row r="222" spans="7:8" ht="15.75" customHeight="1" x14ac:dyDescent="0.25">
      <c r="G222" s="21"/>
      <c r="H222" s="21"/>
    </row>
    <row r="223" spans="7:8" ht="15.75" customHeight="1" x14ac:dyDescent="0.25">
      <c r="G223" s="21"/>
      <c r="H223" s="21"/>
    </row>
    <row r="224" spans="7:8" ht="15.75" customHeight="1" x14ac:dyDescent="0.25">
      <c r="G224" s="21"/>
      <c r="H224" s="21"/>
    </row>
    <row r="225" spans="7:8" ht="15.75" customHeight="1" x14ac:dyDescent="0.25">
      <c r="G225" s="21"/>
      <c r="H225" s="21"/>
    </row>
    <row r="226" spans="7:8" ht="15.75" customHeight="1" x14ac:dyDescent="0.25">
      <c r="G226" s="21"/>
      <c r="H226" s="21"/>
    </row>
    <row r="227" spans="7:8" ht="15.75" customHeight="1" x14ac:dyDescent="0.25">
      <c r="G227" s="21"/>
      <c r="H227" s="21"/>
    </row>
    <row r="228" spans="7:8" ht="15.75" customHeight="1" x14ac:dyDescent="0.25">
      <c r="G228" s="21"/>
      <c r="H228" s="21"/>
    </row>
    <row r="229" spans="7:8" ht="15.75" customHeight="1" x14ac:dyDescent="0.25">
      <c r="G229" s="21"/>
      <c r="H229" s="21"/>
    </row>
    <row r="230" spans="7:8" ht="15.75" customHeight="1" x14ac:dyDescent="0.25">
      <c r="G230" s="21"/>
      <c r="H230" s="21"/>
    </row>
    <row r="231" spans="7:8" ht="15.75" customHeight="1" x14ac:dyDescent="0.25">
      <c r="G231" s="21"/>
      <c r="H231" s="21"/>
    </row>
    <row r="232" spans="7:8" ht="15.75" customHeight="1" x14ac:dyDescent="0.25">
      <c r="G232" s="21"/>
      <c r="H232" s="21"/>
    </row>
    <row r="233" spans="7:8" ht="15.75" customHeight="1" x14ac:dyDescent="0.25">
      <c r="G233" s="21"/>
      <c r="H233" s="21"/>
    </row>
    <row r="234" spans="7:8" ht="15.75" customHeight="1" x14ac:dyDescent="0.25">
      <c r="G234" s="21"/>
      <c r="H234" s="21"/>
    </row>
    <row r="235" spans="7:8" ht="15.75" customHeight="1" x14ac:dyDescent="0.25">
      <c r="G235" s="21"/>
      <c r="H235" s="21"/>
    </row>
    <row r="236" spans="7:8" ht="15.75" customHeight="1" x14ac:dyDescent="0.25">
      <c r="G236" s="21"/>
      <c r="H236" s="21"/>
    </row>
    <row r="237" spans="7:8" ht="15.75" customHeight="1" x14ac:dyDescent="0.25">
      <c r="G237" s="21"/>
      <c r="H237" s="21"/>
    </row>
    <row r="238" spans="7:8" ht="15.75" customHeight="1" x14ac:dyDescent="0.25">
      <c r="G238" s="21"/>
      <c r="H238" s="21"/>
    </row>
    <row r="239" spans="7:8" ht="15.75" customHeight="1" x14ac:dyDescent="0.25">
      <c r="G239" s="21"/>
      <c r="H239" s="21"/>
    </row>
    <row r="240" spans="7:8" ht="15.75" customHeight="1" x14ac:dyDescent="0.25">
      <c r="G240" s="21"/>
      <c r="H240" s="21"/>
    </row>
    <row r="241" spans="7:8" ht="15.75" customHeight="1" x14ac:dyDescent="0.25">
      <c r="G241" s="21"/>
      <c r="H241" s="21"/>
    </row>
    <row r="242" spans="7:8" ht="15.75" customHeight="1" x14ac:dyDescent="0.25">
      <c r="G242" s="21"/>
      <c r="H242" s="21"/>
    </row>
    <row r="243" spans="7:8" ht="15.75" customHeight="1" x14ac:dyDescent="0.25">
      <c r="G243" s="21"/>
      <c r="H243" s="21"/>
    </row>
    <row r="244" spans="7:8" ht="15.75" customHeight="1" x14ac:dyDescent="0.25">
      <c r="G244" s="21"/>
      <c r="H244" s="21"/>
    </row>
    <row r="245" spans="7:8" ht="15.75" customHeight="1" x14ac:dyDescent="0.25">
      <c r="G245" s="21"/>
      <c r="H245" s="21"/>
    </row>
    <row r="246" spans="7:8" ht="15.75" customHeight="1" x14ac:dyDescent="0.25">
      <c r="G246" s="21"/>
      <c r="H246" s="21"/>
    </row>
    <row r="247" spans="7:8" ht="15.75" customHeight="1" x14ac:dyDescent="0.25">
      <c r="G247" s="21"/>
      <c r="H247" s="21"/>
    </row>
    <row r="248" spans="7:8" ht="15.75" customHeight="1" x14ac:dyDescent="0.25">
      <c r="G248" s="21"/>
      <c r="H248" s="21"/>
    </row>
    <row r="249" spans="7:8" ht="15.75" customHeight="1" x14ac:dyDescent="0.25">
      <c r="G249" s="21"/>
      <c r="H249" s="21"/>
    </row>
    <row r="250" spans="7:8" ht="15.75" customHeight="1" x14ac:dyDescent="0.25">
      <c r="G250" s="21"/>
      <c r="H250" s="21"/>
    </row>
    <row r="251" spans="7:8" ht="15.75" customHeight="1" x14ac:dyDescent="0.25">
      <c r="G251" s="21"/>
      <c r="H251" s="21"/>
    </row>
    <row r="252" spans="7:8" ht="15.75" customHeight="1" x14ac:dyDescent="0.25">
      <c r="G252" s="21"/>
      <c r="H252" s="21"/>
    </row>
    <row r="253" spans="7:8" ht="15.75" customHeight="1" x14ac:dyDescent="0.25">
      <c r="G253" s="21"/>
      <c r="H253" s="21"/>
    </row>
    <row r="254" spans="7:8" ht="15.75" customHeight="1" x14ac:dyDescent="0.25">
      <c r="G254" s="21"/>
      <c r="H254" s="21"/>
    </row>
    <row r="255" spans="7:8" ht="15.75" customHeight="1" x14ac:dyDescent="0.25">
      <c r="G255" s="21"/>
      <c r="H255" s="21"/>
    </row>
    <row r="256" spans="7:8" ht="15.75" customHeight="1" x14ac:dyDescent="0.25">
      <c r="G256" s="21"/>
      <c r="H256" s="21"/>
    </row>
    <row r="257" spans="7:8" ht="15.75" customHeight="1" x14ac:dyDescent="0.25">
      <c r="G257" s="21"/>
      <c r="H257" s="21"/>
    </row>
    <row r="258" spans="7:8" ht="15.75" customHeight="1" x14ac:dyDescent="0.25">
      <c r="G258" s="21"/>
      <c r="H258" s="21"/>
    </row>
    <row r="259" spans="7:8" ht="15.75" customHeight="1" x14ac:dyDescent="0.25">
      <c r="G259" s="21"/>
      <c r="H259" s="21"/>
    </row>
    <row r="260" spans="7:8" ht="15.75" customHeight="1" x14ac:dyDescent="0.25">
      <c r="G260" s="21"/>
      <c r="H260" s="21"/>
    </row>
    <row r="261" spans="7:8" ht="15.75" customHeight="1" x14ac:dyDescent="0.25">
      <c r="G261" s="21"/>
      <c r="H261" s="21"/>
    </row>
    <row r="262" spans="7:8" ht="15.75" customHeight="1" x14ac:dyDescent="0.25">
      <c r="G262" s="21"/>
      <c r="H262" s="21"/>
    </row>
    <row r="263" spans="7:8" ht="15.75" customHeight="1" x14ac:dyDescent="0.25">
      <c r="G263" s="21"/>
      <c r="H263" s="21"/>
    </row>
    <row r="264" spans="7:8" ht="15.75" customHeight="1" x14ac:dyDescent="0.25">
      <c r="G264" s="21"/>
      <c r="H264" s="21"/>
    </row>
    <row r="265" spans="7:8" ht="15.75" customHeight="1" x14ac:dyDescent="0.25">
      <c r="G265" s="21"/>
      <c r="H265" s="21"/>
    </row>
    <row r="266" spans="7:8" ht="15.75" customHeight="1" x14ac:dyDescent="0.25">
      <c r="G266" s="21"/>
      <c r="H266" s="21"/>
    </row>
    <row r="267" spans="7:8" ht="15.75" customHeight="1" x14ac:dyDescent="0.25">
      <c r="G267" s="21"/>
      <c r="H267" s="21"/>
    </row>
    <row r="268" spans="7:8" ht="15.75" customHeight="1" x14ac:dyDescent="0.25">
      <c r="G268" s="21"/>
      <c r="H268" s="21"/>
    </row>
    <row r="269" spans="7:8" ht="15.75" customHeight="1" x14ac:dyDescent="0.25">
      <c r="G269" s="21"/>
      <c r="H269" s="21"/>
    </row>
    <row r="270" spans="7:8" ht="15.75" customHeight="1" x14ac:dyDescent="0.25">
      <c r="G270" s="21"/>
      <c r="H270" s="21"/>
    </row>
    <row r="271" spans="7:8" ht="15.75" customHeight="1" x14ac:dyDescent="0.25">
      <c r="G271" s="21"/>
      <c r="H271" s="21"/>
    </row>
    <row r="272" spans="7:8" ht="15.75" customHeight="1" x14ac:dyDescent="0.25">
      <c r="G272" s="21"/>
      <c r="H272" s="21"/>
    </row>
    <row r="273" spans="7:8" ht="15.75" customHeight="1" x14ac:dyDescent="0.25">
      <c r="G273" s="21"/>
      <c r="H273" s="21"/>
    </row>
    <row r="274" spans="7:8" ht="15.75" customHeight="1" x14ac:dyDescent="0.25">
      <c r="G274" s="21"/>
      <c r="H274" s="21"/>
    </row>
    <row r="275" spans="7:8" ht="15.75" customHeight="1" x14ac:dyDescent="0.25">
      <c r="G275" s="21"/>
      <c r="H275" s="21"/>
    </row>
    <row r="276" spans="7:8" ht="15.75" customHeight="1" x14ac:dyDescent="0.25">
      <c r="G276" s="21"/>
      <c r="H276" s="21"/>
    </row>
    <row r="277" spans="7:8" ht="15.75" customHeight="1" x14ac:dyDescent="0.25">
      <c r="G277" s="21"/>
      <c r="H277" s="21"/>
    </row>
    <row r="278" spans="7:8" ht="15.75" customHeight="1" x14ac:dyDescent="0.25">
      <c r="G278" s="21"/>
      <c r="H278" s="21"/>
    </row>
    <row r="279" spans="7:8" ht="15.75" customHeight="1" x14ac:dyDescent="0.25">
      <c r="G279" s="21"/>
      <c r="H279" s="21"/>
    </row>
    <row r="280" spans="7:8" ht="15.75" customHeight="1" x14ac:dyDescent="0.25">
      <c r="G280" s="21"/>
      <c r="H280" s="21"/>
    </row>
    <row r="281" spans="7:8" ht="15.75" customHeight="1" x14ac:dyDescent="0.25">
      <c r="G281" s="21"/>
      <c r="H281" s="21"/>
    </row>
    <row r="282" spans="7:8" ht="15.75" customHeight="1" x14ac:dyDescent="0.25">
      <c r="G282" s="21"/>
      <c r="H282" s="21"/>
    </row>
    <row r="283" spans="7:8" ht="15.75" customHeight="1" x14ac:dyDescent="0.25">
      <c r="G283" s="21"/>
      <c r="H283" s="21"/>
    </row>
    <row r="284" spans="7:8" ht="15.75" customHeight="1" x14ac:dyDescent="0.25">
      <c r="G284" s="21"/>
      <c r="H284" s="21"/>
    </row>
    <row r="285" spans="7:8" ht="15.75" customHeight="1" x14ac:dyDescent="0.25">
      <c r="G285" s="21"/>
      <c r="H285" s="21"/>
    </row>
    <row r="286" spans="7:8" ht="15.75" customHeight="1" x14ac:dyDescent="0.25">
      <c r="G286" s="21"/>
      <c r="H286" s="21"/>
    </row>
    <row r="287" spans="7:8" ht="15.75" customHeight="1" x14ac:dyDescent="0.25">
      <c r="G287" s="21"/>
      <c r="H287" s="21"/>
    </row>
    <row r="288" spans="7:8" ht="15.75" customHeight="1" x14ac:dyDescent="0.25">
      <c r="G288" s="21"/>
      <c r="H288" s="21"/>
    </row>
    <row r="289" spans="7:8" ht="15.75" customHeight="1" x14ac:dyDescent="0.25">
      <c r="G289" s="21"/>
      <c r="H289" s="21"/>
    </row>
    <row r="290" spans="7:8" ht="15.75" customHeight="1" x14ac:dyDescent="0.25">
      <c r="G290" s="21"/>
      <c r="H290" s="21"/>
    </row>
    <row r="291" spans="7:8" ht="15.75" customHeight="1" x14ac:dyDescent="0.25">
      <c r="G291" s="21"/>
      <c r="H291" s="21"/>
    </row>
    <row r="292" spans="7:8" ht="15.75" customHeight="1" x14ac:dyDescent="0.25">
      <c r="G292" s="21"/>
      <c r="H292" s="21"/>
    </row>
    <row r="293" spans="7:8" ht="15.75" customHeight="1" x14ac:dyDescent="0.25">
      <c r="G293" s="21"/>
      <c r="H293" s="21"/>
    </row>
    <row r="294" spans="7:8" ht="15.75" customHeight="1" x14ac:dyDescent="0.25">
      <c r="G294" s="21"/>
      <c r="H294" s="21"/>
    </row>
    <row r="295" spans="7:8" ht="15.75" customHeight="1" x14ac:dyDescent="0.25">
      <c r="G295" s="21"/>
      <c r="H295" s="21"/>
    </row>
    <row r="296" spans="7:8" ht="15.75" customHeight="1" x14ac:dyDescent="0.25">
      <c r="G296" s="21"/>
      <c r="H296" s="21"/>
    </row>
    <row r="297" spans="7:8" ht="15.75" customHeight="1" x14ac:dyDescent="0.25">
      <c r="G297" s="21"/>
      <c r="H297" s="21"/>
    </row>
    <row r="298" spans="7:8" ht="15.75" customHeight="1" x14ac:dyDescent="0.25">
      <c r="G298" s="21"/>
      <c r="H298" s="21"/>
    </row>
    <row r="299" spans="7:8" ht="15.75" customHeight="1" x14ac:dyDescent="0.25">
      <c r="G299" s="21"/>
      <c r="H299" s="21"/>
    </row>
    <row r="300" spans="7:8" ht="15.75" customHeight="1" x14ac:dyDescent="0.25">
      <c r="G300" s="21"/>
      <c r="H300" s="21"/>
    </row>
    <row r="301" spans="7:8" ht="15.75" customHeight="1" x14ac:dyDescent="0.25">
      <c r="G301" s="21"/>
      <c r="H301" s="21"/>
    </row>
    <row r="302" spans="7:8" ht="15.75" customHeight="1" x14ac:dyDescent="0.25">
      <c r="G302" s="21"/>
      <c r="H302" s="21"/>
    </row>
    <row r="303" spans="7:8" ht="15.75" customHeight="1" x14ac:dyDescent="0.25">
      <c r="G303" s="21"/>
      <c r="H303" s="21"/>
    </row>
    <row r="304" spans="7:8" ht="15.75" customHeight="1" x14ac:dyDescent="0.25">
      <c r="G304" s="21"/>
      <c r="H304" s="21"/>
    </row>
    <row r="305" spans="7:8" ht="15.75" customHeight="1" x14ac:dyDescent="0.25">
      <c r="G305" s="21"/>
      <c r="H305" s="21"/>
    </row>
    <row r="306" spans="7:8" ht="15.75" customHeight="1" x14ac:dyDescent="0.25">
      <c r="G306" s="21"/>
      <c r="H306" s="21"/>
    </row>
    <row r="307" spans="7:8" ht="15.75" customHeight="1" x14ac:dyDescent="0.25">
      <c r="G307" s="21"/>
      <c r="H307" s="21"/>
    </row>
    <row r="308" spans="7:8" ht="15.75" customHeight="1" x14ac:dyDescent="0.25">
      <c r="G308" s="21"/>
      <c r="H308" s="21"/>
    </row>
    <row r="309" spans="7:8" ht="15.75" customHeight="1" x14ac:dyDescent="0.25">
      <c r="G309" s="21"/>
      <c r="H309" s="21"/>
    </row>
    <row r="310" spans="7:8" ht="15.75" customHeight="1" x14ac:dyDescent="0.25">
      <c r="G310" s="21"/>
      <c r="H310" s="21"/>
    </row>
    <row r="311" spans="7:8" ht="15.75" customHeight="1" x14ac:dyDescent="0.25">
      <c r="G311" s="21"/>
      <c r="H311" s="21"/>
    </row>
    <row r="312" spans="7:8" ht="15.75" customHeight="1" x14ac:dyDescent="0.25">
      <c r="G312" s="21"/>
      <c r="H312" s="21"/>
    </row>
    <row r="313" spans="7:8" ht="15.75" customHeight="1" x14ac:dyDescent="0.25">
      <c r="G313" s="21"/>
      <c r="H313" s="21"/>
    </row>
    <row r="314" spans="7:8" ht="15.75" customHeight="1" x14ac:dyDescent="0.25">
      <c r="G314" s="21"/>
      <c r="H314" s="21"/>
    </row>
    <row r="315" spans="7:8" ht="15.75" customHeight="1" x14ac:dyDescent="0.25">
      <c r="G315" s="21"/>
      <c r="H315" s="21"/>
    </row>
    <row r="316" spans="7:8" ht="15.75" customHeight="1" x14ac:dyDescent="0.25">
      <c r="G316" s="21"/>
      <c r="H316" s="21"/>
    </row>
    <row r="317" spans="7:8" ht="15.75" customHeight="1" x14ac:dyDescent="0.25">
      <c r="G317" s="21"/>
      <c r="H317" s="21"/>
    </row>
    <row r="318" spans="7:8" ht="15.75" customHeight="1" x14ac:dyDescent="0.25">
      <c r="G318" s="21"/>
      <c r="H318" s="21"/>
    </row>
    <row r="319" spans="7:8" ht="15.75" customHeight="1" x14ac:dyDescent="0.25">
      <c r="G319" s="21"/>
      <c r="H319" s="21"/>
    </row>
    <row r="320" spans="7:8" ht="15.75" customHeight="1" x14ac:dyDescent="0.25">
      <c r="G320" s="21"/>
      <c r="H320" s="21"/>
    </row>
    <row r="321" spans="7:8" ht="15.75" customHeight="1" x14ac:dyDescent="0.25">
      <c r="G321" s="21"/>
      <c r="H321" s="21"/>
    </row>
    <row r="322" spans="7:8" ht="15.75" customHeight="1" x14ac:dyDescent="0.25">
      <c r="G322" s="21"/>
      <c r="H322" s="21"/>
    </row>
    <row r="323" spans="7:8" ht="15.75" customHeight="1" x14ac:dyDescent="0.25">
      <c r="G323" s="21"/>
      <c r="H323" s="21"/>
    </row>
    <row r="324" spans="7:8" ht="15.75" customHeight="1" x14ac:dyDescent="0.25">
      <c r="G324" s="21"/>
      <c r="H324" s="21"/>
    </row>
    <row r="325" spans="7:8" ht="15.75" customHeight="1" x14ac:dyDescent="0.25">
      <c r="G325" s="21"/>
      <c r="H325" s="21"/>
    </row>
    <row r="326" spans="7:8" ht="15.75" customHeight="1" x14ac:dyDescent="0.25">
      <c r="G326" s="21"/>
      <c r="H326" s="21"/>
    </row>
    <row r="327" spans="7:8" ht="15.75" customHeight="1" x14ac:dyDescent="0.25">
      <c r="G327" s="21"/>
      <c r="H327" s="21"/>
    </row>
    <row r="328" spans="7:8" ht="15.75" customHeight="1" x14ac:dyDescent="0.25">
      <c r="G328" s="21"/>
      <c r="H328" s="21"/>
    </row>
    <row r="329" spans="7:8" ht="15.75" customHeight="1" x14ac:dyDescent="0.25">
      <c r="G329" s="21"/>
      <c r="H329" s="21"/>
    </row>
    <row r="330" spans="7:8" ht="15.75" customHeight="1" x14ac:dyDescent="0.25">
      <c r="G330" s="21"/>
      <c r="H330" s="21"/>
    </row>
    <row r="331" spans="7:8" ht="15.75" customHeight="1" x14ac:dyDescent="0.25">
      <c r="G331" s="21"/>
      <c r="H331" s="21"/>
    </row>
    <row r="332" spans="7:8" ht="15.75" customHeight="1" x14ac:dyDescent="0.25">
      <c r="G332" s="21"/>
      <c r="H332" s="21"/>
    </row>
    <row r="333" spans="7:8" ht="15.75" customHeight="1" x14ac:dyDescent="0.25">
      <c r="G333" s="21"/>
      <c r="H333" s="21"/>
    </row>
    <row r="334" spans="7:8" ht="15.75" customHeight="1" x14ac:dyDescent="0.25">
      <c r="G334" s="21"/>
      <c r="H334" s="21"/>
    </row>
    <row r="335" spans="7:8" ht="15.75" customHeight="1" x14ac:dyDescent="0.25">
      <c r="G335" s="21"/>
      <c r="H335" s="21"/>
    </row>
    <row r="336" spans="7:8" ht="15.75" customHeight="1" x14ac:dyDescent="0.25">
      <c r="G336" s="21"/>
      <c r="H336" s="21"/>
    </row>
    <row r="337" spans="7:8" ht="15.75" customHeight="1" x14ac:dyDescent="0.25">
      <c r="G337" s="21"/>
      <c r="H337" s="21"/>
    </row>
    <row r="338" spans="7:8" ht="15.75" customHeight="1" x14ac:dyDescent="0.25">
      <c r="G338" s="21"/>
      <c r="H338" s="21"/>
    </row>
    <row r="339" spans="7:8" ht="15.75" customHeight="1" x14ac:dyDescent="0.25">
      <c r="G339" s="21"/>
      <c r="H339" s="21"/>
    </row>
    <row r="340" spans="7:8" ht="15.75" customHeight="1" x14ac:dyDescent="0.25">
      <c r="G340" s="21"/>
      <c r="H340" s="21"/>
    </row>
    <row r="341" spans="7:8" ht="15.75" customHeight="1" x14ac:dyDescent="0.25">
      <c r="G341" s="21"/>
      <c r="H341" s="21"/>
    </row>
    <row r="342" spans="7:8" ht="15.75" customHeight="1" x14ac:dyDescent="0.25">
      <c r="G342" s="21"/>
      <c r="H342" s="21"/>
    </row>
    <row r="343" spans="7:8" ht="15.75" customHeight="1" x14ac:dyDescent="0.25">
      <c r="G343" s="21"/>
      <c r="H343" s="21"/>
    </row>
    <row r="344" spans="7:8" ht="15.75" customHeight="1" x14ac:dyDescent="0.25">
      <c r="G344" s="21"/>
      <c r="H344" s="21"/>
    </row>
    <row r="345" spans="7:8" ht="15.75" customHeight="1" x14ac:dyDescent="0.25">
      <c r="G345" s="21"/>
      <c r="H345" s="21"/>
    </row>
    <row r="346" spans="7:8" ht="15.75" customHeight="1" x14ac:dyDescent="0.25">
      <c r="G346" s="21"/>
      <c r="H346" s="21"/>
    </row>
    <row r="347" spans="7:8" ht="15.75" customHeight="1" x14ac:dyDescent="0.25">
      <c r="G347" s="21"/>
      <c r="H347" s="21"/>
    </row>
    <row r="348" spans="7:8" ht="15.75" customHeight="1" x14ac:dyDescent="0.25">
      <c r="G348" s="21"/>
      <c r="H348" s="21"/>
    </row>
    <row r="349" spans="7:8" ht="15.75" customHeight="1" x14ac:dyDescent="0.25">
      <c r="G349" s="21"/>
      <c r="H349" s="21"/>
    </row>
    <row r="350" spans="7:8" ht="15.75" customHeight="1" x14ac:dyDescent="0.25">
      <c r="G350" s="21"/>
      <c r="H350" s="21"/>
    </row>
    <row r="351" spans="7:8" ht="15.75" customHeight="1" x14ac:dyDescent="0.25">
      <c r="G351" s="21"/>
      <c r="H351" s="21"/>
    </row>
    <row r="352" spans="7:8" ht="15.75" customHeight="1" x14ac:dyDescent="0.25">
      <c r="G352" s="21"/>
      <c r="H352" s="21"/>
    </row>
    <row r="353" spans="7:8" ht="15.75" customHeight="1" x14ac:dyDescent="0.25">
      <c r="G353" s="21"/>
      <c r="H353" s="21"/>
    </row>
    <row r="354" spans="7:8" ht="15.75" customHeight="1" x14ac:dyDescent="0.25">
      <c r="G354" s="21"/>
      <c r="H354" s="21"/>
    </row>
    <row r="355" spans="7:8" ht="15.75" customHeight="1" x14ac:dyDescent="0.25">
      <c r="G355" s="21"/>
      <c r="H355" s="21"/>
    </row>
    <row r="356" spans="7:8" ht="15.75" customHeight="1" x14ac:dyDescent="0.25">
      <c r="G356" s="21"/>
      <c r="H356" s="21"/>
    </row>
    <row r="357" spans="7:8" ht="15.75" customHeight="1" x14ac:dyDescent="0.25">
      <c r="G357" s="21"/>
      <c r="H357" s="21"/>
    </row>
    <row r="358" spans="7:8" ht="15.75" customHeight="1" x14ac:dyDescent="0.25">
      <c r="G358" s="21"/>
      <c r="H358" s="21"/>
    </row>
    <row r="359" spans="7:8" ht="15.75" customHeight="1" x14ac:dyDescent="0.25">
      <c r="G359" s="21"/>
      <c r="H359" s="21"/>
    </row>
    <row r="360" spans="7:8" ht="15.75" customHeight="1" x14ac:dyDescent="0.25">
      <c r="G360" s="21"/>
      <c r="H360" s="21"/>
    </row>
    <row r="361" spans="7:8" ht="15.75" customHeight="1" x14ac:dyDescent="0.25">
      <c r="G361" s="21"/>
      <c r="H361" s="21"/>
    </row>
    <row r="362" spans="7:8" ht="15.75" customHeight="1" x14ac:dyDescent="0.25">
      <c r="G362" s="21"/>
      <c r="H362" s="21"/>
    </row>
    <row r="363" spans="7:8" ht="15.75" customHeight="1" x14ac:dyDescent="0.25">
      <c r="G363" s="21"/>
      <c r="H363" s="21"/>
    </row>
    <row r="364" spans="7:8" ht="15.75" customHeight="1" x14ac:dyDescent="0.25">
      <c r="G364" s="21"/>
      <c r="H364" s="21"/>
    </row>
    <row r="365" spans="7:8" ht="15.75" customHeight="1" x14ac:dyDescent="0.25">
      <c r="G365" s="21"/>
      <c r="H365" s="21"/>
    </row>
    <row r="366" spans="7:8" ht="15.75" customHeight="1" x14ac:dyDescent="0.25">
      <c r="G366" s="21"/>
      <c r="H366" s="21"/>
    </row>
    <row r="367" spans="7:8" ht="15.75" customHeight="1" x14ac:dyDescent="0.25">
      <c r="G367" s="21"/>
      <c r="H367" s="21"/>
    </row>
    <row r="368" spans="7:8" ht="15.75" customHeight="1" x14ac:dyDescent="0.25">
      <c r="G368" s="21"/>
      <c r="H368" s="21"/>
    </row>
    <row r="369" spans="7:8" ht="15.75" customHeight="1" x14ac:dyDescent="0.25">
      <c r="G369" s="21"/>
      <c r="H369" s="21"/>
    </row>
    <row r="370" spans="7:8" ht="15.75" customHeight="1" x14ac:dyDescent="0.25">
      <c r="G370" s="21"/>
      <c r="H370" s="21"/>
    </row>
    <row r="371" spans="7:8" ht="15.75" customHeight="1" x14ac:dyDescent="0.25">
      <c r="G371" s="21"/>
      <c r="H371" s="21"/>
    </row>
    <row r="372" spans="7:8" ht="15.75" customHeight="1" x14ac:dyDescent="0.25">
      <c r="G372" s="21"/>
      <c r="H372" s="21"/>
    </row>
    <row r="373" spans="7:8" ht="15.75" customHeight="1" x14ac:dyDescent="0.25">
      <c r="G373" s="21"/>
      <c r="H373" s="21"/>
    </row>
    <row r="374" spans="7:8" ht="15.75" customHeight="1" x14ac:dyDescent="0.25">
      <c r="G374" s="21"/>
      <c r="H374" s="21"/>
    </row>
    <row r="375" spans="7:8" ht="15.75" customHeight="1" x14ac:dyDescent="0.25">
      <c r="G375" s="21"/>
      <c r="H375" s="21"/>
    </row>
    <row r="376" spans="7:8" ht="15.75" customHeight="1" x14ac:dyDescent="0.25">
      <c r="G376" s="21"/>
      <c r="H376" s="21"/>
    </row>
    <row r="377" spans="7:8" ht="15.75" customHeight="1" x14ac:dyDescent="0.25">
      <c r="G377" s="21"/>
      <c r="H377" s="21"/>
    </row>
    <row r="378" spans="7:8" ht="15.75" customHeight="1" x14ac:dyDescent="0.25">
      <c r="G378" s="21"/>
      <c r="H378" s="21"/>
    </row>
    <row r="379" spans="7:8" ht="15.75" customHeight="1" x14ac:dyDescent="0.25">
      <c r="G379" s="21"/>
      <c r="H379" s="21"/>
    </row>
    <row r="380" spans="7:8" ht="15.75" customHeight="1" x14ac:dyDescent="0.25">
      <c r="G380" s="21"/>
      <c r="H380" s="21"/>
    </row>
    <row r="381" spans="7:8" ht="15.75" customHeight="1" x14ac:dyDescent="0.25">
      <c r="G381" s="21"/>
      <c r="H381" s="21"/>
    </row>
    <row r="382" spans="7:8" ht="15.75" customHeight="1" x14ac:dyDescent="0.25">
      <c r="G382" s="21"/>
      <c r="H382" s="21"/>
    </row>
    <row r="383" spans="7:8" ht="15.75" customHeight="1" x14ac:dyDescent="0.25">
      <c r="G383" s="21"/>
      <c r="H383" s="21"/>
    </row>
    <row r="384" spans="7:8" ht="15.75" customHeight="1" x14ac:dyDescent="0.25">
      <c r="G384" s="21"/>
      <c r="H384" s="21"/>
    </row>
    <row r="385" spans="7:8" ht="15.75" customHeight="1" x14ac:dyDescent="0.25">
      <c r="G385" s="21"/>
      <c r="H385" s="21"/>
    </row>
    <row r="386" spans="7:8" ht="15.75" customHeight="1" x14ac:dyDescent="0.25">
      <c r="G386" s="21"/>
      <c r="H386" s="21"/>
    </row>
    <row r="387" spans="7:8" ht="15.75" customHeight="1" x14ac:dyDescent="0.25">
      <c r="G387" s="21"/>
      <c r="H387" s="21"/>
    </row>
    <row r="388" spans="7:8" ht="15.75" customHeight="1" x14ac:dyDescent="0.25">
      <c r="G388" s="21"/>
      <c r="H388" s="21"/>
    </row>
    <row r="389" spans="7:8" ht="15.75" customHeight="1" x14ac:dyDescent="0.25">
      <c r="G389" s="21"/>
      <c r="H389" s="21"/>
    </row>
    <row r="390" spans="7:8" ht="15.75" customHeight="1" x14ac:dyDescent="0.25">
      <c r="G390" s="21"/>
      <c r="H390" s="21"/>
    </row>
    <row r="391" spans="7:8" ht="15.75" customHeight="1" x14ac:dyDescent="0.25">
      <c r="G391" s="21"/>
      <c r="H391" s="21"/>
    </row>
    <row r="392" spans="7:8" ht="15.75" customHeight="1" x14ac:dyDescent="0.25">
      <c r="G392" s="21"/>
      <c r="H392" s="21"/>
    </row>
    <row r="393" spans="7:8" ht="15.75" customHeight="1" x14ac:dyDescent="0.25">
      <c r="G393" s="21"/>
      <c r="H393" s="21"/>
    </row>
    <row r="394" spans="7:8" ht="15.75" customHeight="1" x14ac:dyDescent="0.25">
      <c r="G394" s="21"/>
      <c r="H394" s="21"/>
    </row>
    <row r="395" spans="7:8" ht="15.75" customHeight="1" x14ac:dyDescent="0.25">
      <c r="G395" s="21"/>
      <c r="H395" s="21"/>
    </row>
    <row r="396" spans="7:8" ht="15.75" customHeight="1" x14ac:dyDescent="0.25">
      <c r="G396" s="21"/>
      <c r="H396" s="21"/>
    </row>
    <row r="397" spans="7:8" ht="15.75" customHeight="1" x14ac:dyDescent="0.25">
      <c r="G397" s="21"/>
      <c r="H397" s="21"/>
    </row>
    <row r="398" spans="7:8" ht="15.75" customHeight="1" x14ac:dyDescent="0.25">
      <c r="G398" s="21"/>
      <c r="H398" s="21"/>
    </row>
    <row r="399" spans="7:8" ht="15.75" customHeight="1" x14ac:dyDescent="0.25">
      <c r="G399" s="21"/>
      <c r="H399" s="21"/>
    </row>
    <row r="400" spans="7:8" ht="15.75" customHeight="1" x14ac:dyDescent="0.25">
      <c r="G400" s="21"/>
      <c r="H400" s="21"/>
    </row>
    <row r="401" spans="7:8" ht="15.75" customHeight="1" x14ac:dyDescent="0.25">
      <c r="G401" s="21"/>
      <c r="H401" s="21"/>
    </row>
    <row r="402" spans="7:8" ht="15.75" customHeight="1" x14ac:dyDescent="0.25">
      <c r="G402" s="21"/>
      <c r="H402" s="21"/>
    </row>
    <row r="403" spans="7:8" ht="15.75" customHeight="1" x14ac:dyDescent="0.25">
      <c r="G403" s="21"/>
      <c r="H403" s="21"/>
    </row>
    <row r="404" spans="7:8" ht="15.75" customHeight="1" x14ac:dyDescent="0.25">
      <c r="G404" s="21"/>
      <c r="H404" s="21"/>
    </row>
    <row r="405" spans="7:8" ht="15.75" customHeight="1" x14ac:dyDescent="0.25">
      <c r="G405" s="21"/>
      <c r="H405" s="21"/>
    </row>
    <row r="406" spans="7:8" ht="15.75" customHeight="1" x14ac:dyDescent="0.25">
      <c r="G406" s="21"/>
      <c r="H406" s="21"/>
    </row>
    <row r="407" spans="7:8" ht="15.75" customHeight="1" x14ac:dyDescent="0.25">
      <c r="G407" s="21"/>
      <c r="H407" s="21"/>
    </row>
    <row r="408" spans="7:8" ht="15.75" customHeight="1" x14ac:dyDescent="0.25">
      <c r="G408" s="21"/>
      <c r="H408" s="21"/>
    </row>
    <row r="409" spans="7:8" ht="15.75" customHeight="1" x14ac:dyDescent="0.25">
      <c r="G409" s="21"/>
      <c r="H409" s="21"/>
    </row>
    <row r="410" spans="7:8" ht="15.75" customHeight="1" x14ac:dyDescent="0.25">
      <c r="G410" s="21"/>
      <c r="H410" s="21"/>
    </row>
    <row r="411" spans="7:8" ht="15.75" customHeight="1" x14ac:dyDescent="0.25">
      <c r="G411" s="21"/>
      <c r="H411" s="21"/>
    </row>
    <row r="412" spans="7:8" ht="15.75" customHeight="1" x14ac:dyDescent="0.25">
      <c r="G412" s="21"/>
      <c r="H412" s="21"/>
    </row>
    <row r="413" spans="7:8" ht="15.75" customHeight="1" x14ac:dyDescent="0.25">
      <c r="G413" s="21"/>
      <c r="H413" s="21"/>
    </row>
    <row r="414" spans="7:8" ht="15.75" customHeight="1" x14ac:dyDescent="0.25">
      <c r="G414" s="21"/>
      <c r="H414" s="21"/>
    </row>
    <row r="415" spans="7:8" ht="15.75" customHeight="1" x14ac:dyDescent="0.25">
      <c r="G415" s="21"/>
      <c r="H415" s="21"/>
    </row>
    <row r="416" spans="7:8" ht="15.75" customHeight="1" x14ac:dyDescent="0.25">
      <c r="G416" s="21"/>
      <c r="H416" s="21"/>
    </row>
    <row r="417" spans="7:8" ht="15.75" customHeight="1" x14ac:dyDescent="0.25">
      <c r="G417" s="21"/>
      <c r="H417" s="21"/>
    </row>
    <row r="418" spans="7:8" ht="15.75" customHeight="1" x14ac:dyDescent="0.25">
      <c r="G418" s="21"/>
      <c r="H418" s="21"/>
    </row>
    <row r="419" spans="7:8" ht="15.75" customHeight="1" x14ac:dyDescent="0.25">
      <c r="G419" s="21"/>
      <c r="H419" s="21"/>
    </row>
    <row r="420" spans="7:8" ht="15.75" customHeight="1" x14ac:dyDescent="0.25">
      <c r="G420" s="21"/>
      <c r="H420" s="21"/>
    </row>
    <row r="421" spans="7:8" ht="15.75" customHeight="1" x14ac:dyDescent="0.25">
      <c r="G421" s="21"/>
      <c r="H421" s="21"/>
    </row>
    <row r="422" spans="7:8" ht="15.75" customHeight="1" x14ac:dyDescent="0.25">
      <c r="G422" s="21"/>
      <c r="H422" s="21"/>
    </row>
    <row r="423" spans="7:8" ht="15.75" customHeight="1" x14ac:dyDescent="0.25">
      <c r="G423" s="21"/>
      <c r="H423" s="21"/>
    </row>
    <row r="424" spans="7:8" ht="15.75" customHeight="1" x14ac:dyDescent="0.25">
      <c r="G424" s="21"/>
      <c r="H424" s="21"/>
    </row>
    <row r="425" spans="7:8" ht="15.75" customHeight="1" x14ac:dyDescent="0.25">
      <c r="G425" s="21"/>
      <c r="H425" s="21"/>
    </row>
    <row r="426" spans="7:8" ht="15.75" customHeight="1" x14ac:dyDescent="0.25">
      <c r="G426" s="21"/>
      <c r="H426" s="21"/>
    </row>
    <row r="427" spans="7:8" ht="15.75" customHeight="1" x14ac:dyDescent="0.25">
      <c r="G427" s="21"/>
      <c r="H427" s="21"/>
    </row>
    <row r="428" spans="7:8" ht="15.75" customHeight="1" x14ac:dyDescent="0.25">
      <c r="G428" s="21"/>
      <c r="H428" s="21"/>
    </row>
    <row r="429" spans="7:8" ht="15.75" customHeight="1" x14ac:dyDescent="0.25">
      <c r="G429" s="21"/>
      <c r="H429" s="21"/>
    </row>
    <row r="430" spans="7:8" ht="15.75" customHeight="1" x14ac:dyDescent="0.25">
      <c r="G430" s="21"/>
      <c r="H430" s="21"/>
    </row>
    <row r="431" spans="7:8" ht="15.75" customHeight="1" x14ac:dyDescent="0.25">
      <c r="G431" s="21"/>
      <c r="H431" s="21"/>
    </row>
    <row r="432" spans="7:8" ht="15.75" customHeight="1" x14ac:dyDescent="0.25">
      <c r="G432" s="21"/>
      <c r="H432" s="21"/>
    </row>
    <row r="433" spans="7:8" ht="15.75" customHeight="1" x14ac:dyDescent="0.25">
      <c r="G433" s="21"/>
      <c r="H433" s="21"/>
    </row>
    <row r="434" spans="7:8" ht="15.75" customHeight="1" x14ac:dyDescent="0.25">
      <c r="G434" s="21"/>
      <c r="H434" s="21"/>
    </row>
    <row r="435" spans="7:8" ht="15.75" customHeight="1" x14ac:dyDescent="0.25">
      <c r="G435" s="21"/>
      <c r="H435" s="21"/>
    </row>
    <row r="436" spans="7:8" ht="15.75" customHeight="1" x14ac:dyDescent="0.25">
      <c r="G436" s="21"/>
      <c r="H436" s="21"/>
    </row>
    <row r="437" spans="7:8" ht="15.75" customHeight="1" x14ac:dyDescent="0.25">
      <c r="G437" s="21"/>
      <c r="H437" s="21"/>
    </row>
    <row r="438" spans="7:8" ht="15.75" customHeight="1" x14ac:dyDescent="0.25">
      <c r="G438" s="21"/>
      <c r="H438" s="21"/>
    </row>
    <row r="439" spans="7:8" ht="15.75" customHeight="1" x14ac:dyDescent="0.25">
      <c r="G439" s="21"/>
      <c r="H439" s="21"/>
    </row>
    <row r="440" spans="7:8" ht="15.75" customHeight="1" x14ac:dyDescent="0.25">
      <c r="G440" s="21"/>
      <c r="H440" s="21"/>
    </row>
    <row r="441" spans="7:8" ht="15.75" customHeight="1" x14ac:dyDescent="0.25">
      <c r="G441" s="21"/>
      <c r="H441" s="21"/>
    </row>
    <row r="442" spans="7:8" ht="15.75" customHeight="1" x14ac:dyDescent="0.25">
      <c r="G442" s="21"/>
      <c r="H442" s="21"/>
    </row>
    <row r="443" spans="7:8" ht="15.75" customHeight="1" x14ac:dyDescent="0.25">
      <c r="G443" s="21"/>
      <c r="H443" s="21"/>
    </row>
    <row r="444" spans="7:8" ht="15.75" customHeight="1" x14ac:dyDescent="0.25">
      <c r="G444" s="21"/>
      <c r="H444" s="21"/>
    </row>
    <row r="445" spans="7:8" ht="15.75" customHeight="1" x14ac:dyDescent="0.25">
      <c r="G445" s="21"/>
      <c r="H445" s="21"/>
    </row>
    <row r="446" spans="7:8" ht="15.75" customHeight="1" x14ac:dyDescent="0.25">
      <c r="G446" s="21"/>
      <c r="H446" s="21"/>
    </row>
    <row r="447" spans="7:8" ht="15.75" customHeight="1" x14ac:dyDescent="0.25">
      <c r="G447" s="21"/>
      <c r="H447" s="21"/>
    </row>
    <row r="448" spans="7:8" ht="15.75" customHeight="1" x14ac:dyDescent="0.25">
      <c r="G448" s="21"/>
      <c r="H448" s="21"/>
    </row>
    <row r="449" spans="7:8" ht="15.75" customHeight="1" x14ac:dyDescent="0.25">
      <c r="G449" s="21"/>
      <c r="H449" s="21"/>
    </row>
    <row r="450" spans="7:8" ht="15.75" customHeight="1" x14ac:dyDescent="0.25">
      <c r="G450" s="21"/>
      <c r="H450" s="21"/>
    </row>
    <row r="451" spans="7:8" ht="15.75" customHeight="1" x14ac:dyDescent="0.25">
      <c r="G451" s="21"/>
      <c r="H451" s="21"/>
    </row>
    <row r="452" spans="7:8" ht="15.75" customHeight="1" x14ac:dyDescent="0.25">
      <c r="G452" s="21"/>
      <c r="H452" s="21"/>
    </row>
    <row r="453" spans="7:8" ht="15.75" customHeight="1" x14ac:dyDescent="0.25">
      <c r="G453" s="21"/>
      <c r="H453" s="21"/>
    </row>
    <row r="454" spans="7:8" ht="15.75" customHeight="1" x14ac:dyDescent="0.25">
      <c r="G454" s="21"/>
      <c r="H454" s="21"/>
    </row>
    <row r="455" spans="7:8" ht="15.75" customHeight="1" x14ac:dyDescent="0.25">
      <c r="G455" s="21"/>
      <c r="H455" s="21"/>
    </row>
    <row r="456" spans="7:8" ht="15.75" customHeight="1" x14ac:dyDescent="0.25">
      <c r="G456" s="21"/>
      <c r="H456" s="21"/>
    </row>
    <row r="457" spans="7:8" ht="15.75" customHeight="1" x14ac:dyDescent="0.25">
      <c r="G457" s="21"/>
      <c r="H457" s="21"/>
    </row>
    <row r="458" spans="7:8" ht="15.75" customHeight="1" x14ac:dyDescent="0.25">
      <c r="G458" s="21"/>
      <c r="H458" s="21"/>
    </row>
    <row r="459" spans="7:8" ht="15.75" customHeight="1" x14ac:dyDescent="0.25">
      <c r="G459" s="21"/>
      <c r="H459" s="21"/>
    </row>
    <row r="460" spans="7:8" ht="15.75" customHeight="1" x14ac:dyDescent="0.25">
      <c r="G460" s="21"/>
      <c r="H460" s="21"/>
    </row>
    <row r="461" spans="7:8" ht="15.75" customHeight="1" x14ac:dyDescent="0.25">
      <c r="G461" s="21"/>
      <c r="H461" s="21"/>
    </row>
    <row r="462" spans="7:8" ht="15.75" customHeight="1" x14ac:dyDescent="0.25">
      <c r="G462" s="21"/>
      <c r="H462" s="21"/>
    </row>
    <row r="463" spans="7:8" ht="15.75" customHeight="1" x14ac:dyDescent="0.25">
      <c r="G463" s="21"/>
      <c r="H463" s="21"/>
    </row>
    <row r="464" spans="7:8" ht="15.75" customHeight="1" x14ac:dyDescent="0.25">
      <c r="G464" s="21"/>
      <c r="H464" s="21"/>
    </row>
    <row r="465" spans="7:8" ht="15.75" customHeight="1" x14ac:dyDescent="0.25">
      <c r="G465" s="21"/>
      <c r="H465" s="21"/>
    </row>
    <row r="466" spans="7:8" ht="15.75" customHeight="1" x14ac:dyDescent="0.25">
      <c r="G466" s="21"/>
      <c r="H466" s="21"/>
    </row>
    <row r="467" spans="7:8" ht="15.75" customHeight="1" x14ac:dyDescent="0.25">
      <c r="G467" s="21"/>
      <c r="H467" s="21"/>
    </row>
    <row r="468" spans="7:8" ht="15.75" customHeight="1" x14ac:dyDescent="0.25">
      <c r="G468" s="21"/>
      <c r="H468" s="21"/>
    </row>
    <row r="469" spans="7:8" ht="15.75" customHeight="1" x14ac:dyDescent="0.25">
      <c r="G469" s="21"/>
      <c r="H469" s="21"/>
    </row>
    <row r="470" spans="7:8" ht="15.75" customHeight="1" x14ac:dyDescent="0.25">
      <c r="G470" s="21"/>
      <c r="H470" s="21"/>
    </row>
    <row r="471" spans="7:8" ht="15.75" customHeight="1" x14ac:dyDescent="0.25">
      <c r="G471" s="21"/>
      <c r="H471" s="21"/>
    </row>
    <row r="472" spans="7:8" ht="15.75" customHeight="1" x14ac:dyDescent="0.25">
      <c r="G472" s="21"/>
      <c r="H472" s="21"/>
    </row>
    <row r="473" spans="7:8" ht="15.75" customHeight="1" x14ac:dyDescent="0.25">
      <c r="G473" s="21"/>
      <c r="H473" s="21"/>
    </row>
    <row r="474" spans="7:8" ht="15.75" customHeight="1" x14ac:dyDescent="0.25">
      <c r="G474" s="21"/>
      <c r="H474" s="21"/>
    </row>
    <row r="475" spans="7:8" ht="15.75" customHeight="1" x14ac:dyDescent="0.25">
      <c r="G475" s="21"/>
      <c r="H475" s="21"/>
    </row>
    <row r="476" spans="7:8" ht="15.75" customHeight="1" x14ac:dyDescent="0.25">
      <c r="G476" s="21"/>
      <c r="H476" s="21"/>
    </row>
    <row r="477" spans="7:8" ht="15.75" customHeight="1" x14ac:dyDescent="0.25">
      <c r="G477" s="21"/>
      <c r="H477" s="21"/>
    </row>
    <row r="478" spans="7:8" ht="15.75" customHeight="1" x14ac:dyDescent="0.25">
      <c r="G478" s="21"/>
      <c r="H478" s="21"/>
    </row>
    <row r="479" spans="7:8" ht="15.75" customHeight="1" x14ac:dyDescent="0.25">
      <c r="G479" s="21"/>
      <c r="H479" s="21"/>
    </row>
    <row r="480" spans="7:8" ht="15.75" customHeight="1" x14ac:dyDescent="0.25">
      <c r="G480" s="21"/>
      <c r="H480" s="21"/>
    </row>
    <row r="481" spans="7:8" ht="15.75" customHeight="1" x14ac:dyDescent="0.25">
      <c r="G481" s="21"/>
      <c r="H481" s="21"/>
    </row>
    <row r="482" spans="7:8" ht="15.75" customHeight="1" x14ac:dyDescent="0.25">
      <c r="G482" s="21"/>
      <c r="H482" s="21"/>
    </row>
    <row r="483" spans="7:8" ht="15.75" customHeight="1" x14ac:dyDescent="0.25">
      <c r="G483" s="21"/>
      <c r="H483" s="21"/>
    </row>
    <row r="484" spans="7:8" ht="15.75" customHeight="1" x14ac:dyDescent="0.25">
      <c r="G484" s="21"/>
      <c r="H484" s="21"/>
    </row>
    <row r="485" spans="7:8" ht="15.75" customHeight="1" x14ac:dyDescent="0.25">
      <c r="G485" s="21"/>
      <c r="H485" s="21"/>
    </row>
    <row r="486" spans="7:8" ht="15.75" customHeight="1" x14ac:dyDescent="0.25">
      <c r="G486" s="21"/>
      <c r="H486" s="21"/>
    </row>
    <row r="487" spans="7:8" ht="15.75" customHeight="1" x14ac:dyDescent="0.25">
      <c r="G487" s="21"/>
      <c r="H487" s="21"/>
    </row>
    <row r="488" spans="7:8" ht="15.75" customHeight="1" x14ac:dyDescent="0.25">
      <c r="G488" s="21"/>
      <c r="H488" s="21"/>
    </row>
    <row r="489" spans="7:8" ht="15.75" customHeight="1" x14ac:dyDescent="0.25">
      <c r="G489" s="21"/>
      <c r="H489" s="21"/>
    </row>
    <row r="490" spans="7:8" ht="15.75" customHeight="1" x14ac:dyDescent="0.25">
      <c r="G490" s="21"/>
      <c r="H490" s="21"/>
    </row>
    <row r="491" spans="7:8" ht="15.75" customHeight="1" x14ac:dyDescent="0.25">
      <c r="G491" s="21"/>
      <c r="H491" s="21"/>
    </row>
    <row r="492" spans="7:8" ht="15.75" customHeight="1" x14ac:dyDescent="0.25">
      <c r="G492" s="21"/>
      <c r="H492" s="21"/>
    </row>
    <row r="493" spans="7:8" ht="15.75" customHeight="1" x14ac:dyDescent="0.25">
      <c r="G493" s="21"/>
      <c r="H493" s="21"/>
    </row>
    <row r="494" spans="7:8" ht="15.75" customHeight="1" x14ac:dyDescent="0.25">
      <c r="G494" s="21"/>
      <c r="H494" s="21"/>
    </row>
    <row r="495" spans="7:8" ht="15.75" customHeight="1" x14ac:dyDescent="0.25">
      <c r="G495" s="21"/>
      <c r="H495" s="21"/>
    </row>
    <row r="496" spans="7:8" ht="15.75" customHeight="1" x14ac:dyDescent="0.25">
      <c r="G496" s="21"/>
      <c r="H496" s="21"/>
    </row>
    <row r="497" spans="7:8" ht="15.75" customHeight="1" x14ac:dyDescent="0.25">
      <c r="G497" s="21"/>
      <c r="H497" s="21"/>
    </row>
    <row r="498" spans="7:8" ht="15.75" customHeight="1" x14ac:dyDescent="0.25">
      <c r="G498" s="21"/>
      <c r="H498" s="21"/>
    </row>
    <row r="499" spans="7:8" ht="15.75" customHeight="1" x14ac:dyDescent="0.25">
      <c r="G499" s="21"/>
      <c r="H499" s="21"/>
    </row>
    <row r="500" spans="7:8" ht="15.75" customHeight="1" x14ac:dyDescent="0.25">
      <c r="G500" s="21"/>
      <c r="H500" s="21"/>
    </row>
    <row r="501" spans="7:8" ht="15.75" customHeight="1" x14ac:dyDescent="0.25">
      <c r="G501" s="21"/>
      <c r="H501" s="21"/>
    </row>
    <row r="502" spans="7:8" ht="15.75" customHeight="1" x14ac:dyDescent="0.25">
      <c r="G502" s="21"/>
      <c r="H502" s="21"/>
    </row>
    <row r="503" spans="7:8" ht="15.75" customHeight="1" x14ac:dyDescent="0.25">
      <c r="G503" s="21"/>
      <c r="H503" s="21"/>
    </row>
    <row r="504" spans="7:8" ht="15.75" customHeight="1" x14ac:dyDescent="0.25">
      <c r="G504" s="21"/>
      <c r="H504" s="21"/>
    </row>
    <row r="505" spans="7:8" ht="15.75" customHeight="1" x14ac:dyDescent="0.25">
      <c r="G505" s="21"/>
      <c r="H505" s="21"/>
    </row>
    <row r="506" spans="7:8" ht="15.75" customHeight="1" x14ac:dyDescent="0.25">
      <c r="G506" s="21"/>
      <c r="H506" s="21"/>
    </row>
    <row r="507" spans="7:8" ht="15.75" customHeight="1" x14ac:dyDescent="0.25">
      <c r="G507" s="21"/>
      <c r="H507" s="21"/>
    </row>
    <row r="508" spans="7:8" ht="15.75" customHeight="1" x14ac:dyDescent="0.25">
      <c r="G508" s="21"/>
      <c r="H508" s="21"/>
    </row>
    <row r="509" spans="7:8" ht="15.75" customHeight="1" x14ac:dyDescent="0.25">
      <c r="G509" s="21"/>
      <c r="H509" s="21"/>
    </row>
    <row r="510" spans="7:8" ht="15.75" customHeight="1" x14ac:dyDescent="0.25">
      <c r="G510" s="21"/>
      <c r="H510" s="21"/>
    </row>
    <row r="511" spans="7:8" ht="15.75" customHeight="1" x14ac:dyDescent="0.25">
      <c r="G511" s="21"/>
      <c r="H511" s="21"/>
    </row>
    <row r="512" spans="7:8" ht="15.75" customHeight="1" x14ac:dyDescent="0.25">
      <c r="G512" s="21"/>
      <c r="H512" s="21"/>
    </row>
    <row r="513" spans="7:8" ht="15.75" customHeight="1" x14ac:dyDescent="0.25">
      <c r="G513" s="21"/>
      <c r="H513" s="21"/>
    </row>
    <row r="514" spans="7:8" ht="15.75" customHeight="1" x14ac:dyDescent="0.25">
      <c r="G514" s="21"/>
      <c r="H514" s="21"/>
    </row>
    <row r="515" spans="7:8" ht="15.75" customHeight="1" x14ac:dyDescent="0.25">
      <c r="G515" s="21"/>
      <c r="H515" s="21"/>
    </row>
    <row r="516" spans="7:8" ht="15.75" customHeight="1" x14ac:dyDescent="0.25">
      <c r="G516" s="21"/>
      <c r="H516" s="21"/>
    </row>
    <row r="517" spans="7:8" ht="15.75" customHeight="1" x14ac:dyDescent="0.25">
      <c r="G517" s="21"/>
      <c r="H517" s="21"/>
    </row>
    <row r="518" spans="7:8" ht="15.75" customHeight="1" x14ac:dyDescent="0.25">
      <c r="G518" s="21"/>
      <c r="H518" s="21"/>
    </row>
    <row r="519" spans="7:8" ht="15.75" customHeight="1" x14ac:dyDescent="0.25">
      <c r="G519" s="21"/>
      <c r="H519" s="21"/>
    </row>
    <row r="520" spans="7:8" ht="15.75" customHeight="1" x14ac:dyDescent="0.25">
      <c r="G520" s="21"/>
      <c r="H520" s="21"/>
    </row>
    <row r="521" spans="7:8" ht="15.75" customHeight="1" x14ac:dyDescent="0.25">
      <c r="G521" s="21"/>
      <c r="H521" s="21"/>
    </row>
    <row r="522" spans="7:8" ht="15.75" customHeight="1" x14ac:dyDescent="0.25">
      <c r="G522" s="21"/>
      <c r="H522" s="21"/>
    </row>
    <row r="523" spans="7:8" ht="15.75" customHeight="1" x14ac:dyDescent="0.25">
      <c r="G523" s="21"/>
      <c r="H523" s="21"/>
    </row>
    <row r="524" spans="7:8" ht="15.75" customHeight="1" x14ac:dyDescent="0.25">
      <c r="G524" s="21"/>
      <c r="H524" s="21"/>
    </row>
    <row r="525" spans="7:8" ht="15.75" customHeight="1" x14ac:dyDescent="0.25">
      <c r="G525" s="21"/>
      <c r="H525" s="21"/>
    </row>
    <row r="526" spans="7:8" ht="15.75" customHeight="1" x14ac:dyDescent="0.25">
      <c r="G526" s="21"/>
      <c r="H526" s="21"/>
    </row>
    <row r="527" spans="7:8" ht="15.75" customHeight="1" x14ac:dyDescent="0.25">
      <c r="G527" s="21"/>
      <c r="H527" s="21"/>
    </row>
    <row r="528" spans="7:8" ht="15.75" customHeight="1" x14ac:dyDescent="0.25">
      <c r="G528" s="21"/>
      <c r="H528" s="21"/>
    </row>
    <row r="529" spans="7:8" ht="15.75" customHeight="1" x14ac:dyDescent="0.25">
      <c r="G529" s="21"/>
      <c r="H529" s="21"/>
    </row>
    <row r="530" spans="7:8" ht="15.75" customHeight="1" x14ac:dyDescent="0.25">
      <c r="G530" s="21"/>
      <c r="H530" s="21"/>
    </row>
    <row r="531" spans="7:8" ht="15.75" customHeight="1" x14ac:dyDescent="0.25">
      <c r="G531" s="21"/>
      <c r="H531" s="21"/>
    </row>
    <row r="532" spans="7:8" ht="15.75" customHeight="1" x14ac:dyDescent="0.25">
      <c r="G532" s="21"/>
      <c r="H532" s="21"/>
    </row>
    <row r="533" spans="7:8" ht="15.75" customHeight="1" x14ac:dyDescent="0.25">
      <c r="G533" s="21"/>
      <c r="H533" s="21"/>
    </row>
    <row r="534" spans="7:8" ht="15.75" customHeight="1" x14ac:dyDescent="0.25">
      <c r="G534" s="21"/>
      <c r="H534" s="21"/>
    </row>
    <row r="535" spans="7:8" ht="15.75" customHeight="1" x14ac:dyDescent="0.25">
      <c r="G535" s="21"/>
      <c r="H535" s="21"/>
    </row>
    <row r="536" spans="7:8" ht="15.75" customHeight="1" x14ac:dyDescent="0.25">
      <c r="G536" s="21"/>
      <c r="H536" s="21"/>
    </row>
    <row r="537" spans="7:8" ht="15.75" customHeight="1" x14ac:dyDescent="0.25">
      <c r="G537" s="21"/>
      <c r="H537" s="21"/>
    </row>
    <row r="538" spans="7:8" ht="15.75" customHeight="1" x14ac:dyDescent="0.25">
      <c r="G538" s="21"/>
      <c r="H538" s="21"/>
    </row>
    <row r="539" spans="7:8" ht="15.75" customHeight="1" x14ac:dyDescent="0.25">
      <c r="G539" s="21"/>
      <c r="H539" s="21"/>
    </row>
    <row r="540" spans="7:8" ht="15.75" customHeight="1" x14ac:dyDescent="0.25">
      <c r="G540" s="21"/>
      <c r="H540" s="21"/>
    </row>
    <row r="541" spans="7:8" ht="15.75" customHeight="1" x14ac:dyDescent="0.25">
      <c r="G541" s="21"/>
      <c r="H541" s="21"/>
    </row>
    <row r="542" spans="7:8" ht="15.75" customHeight="1" x14ac:dyDescent="0.25">
      <c r="G542" s="21"/>
      <c r="H542" s="21"/>
    </row>
    <row r="543" spans="7:8" ht="15.75" customHeight="1" x14ac:dyDescent="0.25">
      <c r="G543" s="21"/>
      <c r="H543" s="21"/>
    </row>
    <row r="544" spans="7:8" ht="15.75" customHeight="1" x14ac:dyDescent="0.25">
      <c r="G544" s="21"/>
      <c r="H544" s="21"/>
    </row>
    <row r="545" spans="7:8" ht="15.75" customHeight="1" x14ac:dyDescent="0.25">
      <c r="G545" s="21"/>
      <c r="H545" s="21"/>
    </row>
    <row r="546" spans="7:8" ht="15.75" customHeight="1" x14ac:dyDescent="0.25">
      <c r="G546" s="21"/>
      <c r="H546" s="21"/>
    </row>
    <row r="547" spans="7:8" ht="15.75" customHeight="1" x14ac:dyDescent="0.25">
      <c r="G547" s="21"/>
      <c r="H547" s="21"/>
    </row>
    <row r="548" spans="7:8" ht="15.75" customHeight="1" x14ac:dyDescent="0.25">
      <c r="G548" s="21"/>
      <c r="H548" s="21"/>
    </row>
    <row r="549" spans="7:8" ht="15.75" customHeight="1" x14ac:dyDescent="0.25">
      <c r="G549" s="21"/>
      <c r="H549" s="21"/>
    </row>
    <row r="550" spans="7:8" ht="15.75" customHeight="1" x14ac:dyDescent="0.25">
      <c r="G550" s="21"/>
      <c r="H550" s="21"/>
    </row>
    <row r="551" spans="7:8" ht="15.75" customHeight="1" x14ac:dyDescent="0.25">
      <c r="G551" s="21"/>
      <c r="H551" s="21"/>
    </row>
    <row r="552" spans="7:8" ht="15.75" customHeight="1" x14ac:dyDescent="0.25">
      <c r="G552" s="21"/>
      <c r="H552" s="21"/>
    </row>
    <row r="553" spans="7:8" ht="15.75" customHeight="1" x14ac:dyDescent="0.25">
      <c r="G553" s="21"/>
      <c r="H553" s="21"/>
    </row>
    <row r="554" spans="7:8" ht="15.75" customHeight="1" x14ac:dyDescent="0.25">
      <c r="G554" s="21"/>
      <c r="H554" s="21"/>
    </row>
    <row r="555" spans="7:8" ht="15.75" customHeight="1" x14ac:dyDescent="0.25">
      <c r="G555" s="21"/>
      <c r="H555" s="21"/>
    </row>
    <row r="556" spans="7:8" ht="15.75" customHeight="1" x14ac:dyDescent="0.25">
      <c r="G556" s="21"/>
      <c r="H556" s="21"/>
    </row>
    <row r="557" spans="7:8" ht="15.75" customHeight="1" x14ac:dyDescent="0.25">
      <c r="G557" s="21"/>
      <c r="H557" s="21"/>
    </row>
    <row r="558" spans="7:8" ht="15.75" customHeight="1" x14ac:dyDescent="0.25">
      <c r="G558" s="21"/>
      <c r="H558" s="21"/>
    </row>
    <row r="559" spans="7:8" ht="15.75" customHeight="1" x14ac:dyDescent="0.25">
      <c r="G559" s="21"/>
      <c r="H559" s="21"/>
    </row>
    <row r="560" spans="7:8" ht="15.75" customHeight="1" x14ac:dyDescent="0.25">
      <c r="G560" s="21"/>
      <c r="H560" s="21"/>
    </row>
    <row r="561" spans="7:8" ht="15.75" customHeight="1" x14ac:dyDescent="0.25">
      <c r="G561" s="21"/>
      <c r="H561" s="21"/>
    </row>
    <row r="562" spans="7:8" ht="15.75" customHeight="1" x14ac:dyDescent="0.25">
      <c r="G562" s="21"/>
      <c r="H562" s="21"/>
    </row>
    <row r="563" spans="7:8" ht="15.75" customHeight="1" x14ac:dyDescent="0.25">
      <c r="G563" s="21"/>
      <c r="H563" s="21"/>
    </row>
    <row r="564" spans="7:8" ht="15.75" customHeight="1" x14ac:dyDescent="0.25">
      <c r="G564" s="21"/>
      <c r="H564" s="21"/>
    </row>
    <row r="565" spans="7:8" ht="15.75" customHeight="1" x14ac:dyDescent="0.25">
      <c r="G565" s="21"/>
      <c r="H565" s="21"/>
    </row>
    <row r="566" spans="7:8" ht="15.75" customHeight="1" x14ac:dyDescent="0.25">
      <c r="G566" s="21"/>
      <c r="H566" s="21"/>
    </row>
    <row r="567" spans="7:8" ht="15.75" customHeight="1" x14ac:dyDescent="0.25">
      <c r="G567" s="21"/>
      <c r="H567" s="21"/>
    </row>
    <row r="568" spans="7:8" ht="15.75" customHeight="1" x14ac:dyDescent="0.25">
      <c r="G568" s="21"/>
      <c r="H568" s="21"/>
    </row>
    <row r="569" spans="7:8" ht="15.75" customHeight="1" x14ac:dyDescent="0.25">
      <c r="G569" s="21"/>
      <c r="H569" s="21"/>
    </row>
    <row r="570" spans="7:8" ht="15.75" customHeight="1" x14ac:dyDescent="0.25">
      <c r="G570" s="21"/>
      <c r="H570" s="21"/>
    </row>
    <row r="571" spans="7:8" ht="15.75" customHeight="1" x14ac:dyDescent="0.25">
      <c r="G571" s="21"/>
      <c r="H571" s="21"/>
    </row>
    <row r="572" spans="7:8" ht="15.75" customHeight="1" x14ac:dyDescent="0.25">
      <c r="G572" s="21"/>
      <c r="H572" s="21"/>
    </row>
    <row r="573" spans="7:8" ht="15.75" customHeight="1" x14ac:dyDescent="0.25">
      <c r="G573" s="21"/>
      <c r="H573" s="21"/>
    </row>
    <row r="574" spans="7:8" ht="15.75" customHeight="1" x14ac:dyDescent="0.25">
      <c r="G574" s="21"/>
      <c r="H574" s="21"/>
    </row>
    <row r="575" spans="7:8" ht="15.75" customHeight="1" x14ac:dyDescent="0.25">
      <c r="G575" s="21"/>
      <c r="H575" s="21"/>
    </row>
    <row r="576" spans="7:8" ht="15.75" customHeight="1" x14ac:dyDescent="0.25">
      <c r="G576" s="21"/>
      <c r="H576" s="21"/>
    </row>
    <row r="577" spans="7:8" ht="15.75" customHeight="1" x14ac:dyDescent="0.25">
      <c r="G577" s="21"/>
      <c r="H577" s="21"/>
    </row>
    <row r="578" spans="7:8" ht="15.75" customHeight="1" x14ac:dyDescent="0.25">
      <c r="G578" s="21"/>
      <c r="H578" s="21"/>
    </row>
    <row r="579" spans="7:8" ht="15.75" customHeight="1" x14ac:dyDescent="0.25">
      <c r="G579" s="21"/>
      <c r="H579" s="21"/>
    </row>
    <row r="580" spans="7:8" ht="15.75" customHeight="1" x14ac:dyDescent="0.25">
      <c r="G580" s="21"/>
      <c r="H580" s="21"/>
    </row>
    <row r="581" spans="7:8" ht="15.75" customHeight="1" x14ac:dyDescent="0.25">
      <c r="G581" s="21"/>
      <c r="H581" s="21"/>
    </row>
    <row r="582" spans="7:8" ht="15.75" customHeight="1" x14ac:dyDescent="0.25">
      <c r="G582" s="21"/>
      <c r="H582" s="21"/>
    </row>
    <row r="583" spans="7:8" ht="15.75" customHeight="1" x14ac:dyDescent="0.25">
      <c r="G583" s="21"/>
      <c r="H583" s="21"/>
    </row>
    <row r="584" spans="7:8" ht="15.75" customHeight="1" x14ac:dyDescent="0.25">
      <c r="G584" s="21"/>
      <c r="H584" s="21"/>
    </row>
    <row r="585" spans="7:8" ht="15.75" customHeight="1" x14ac:dyDescent="0.25">
      <c r="G585" s="21"/>
      <c r="H585" s="21"/>
    </row>
    <row r="586" spans="7:8" ht="15.75" customHeight="1" x14ac:dyDescent="0.25">
      <c r="G586" s="21"/>
      <c r="H586" s="21"/>
    </row>
    <row r="587" spans="7:8" ht="15.75" customHeight="1" x14ac:dyDescent="0.25">
      <c r="G587" s="21"/>
      <c r="H587" s="21"/>
    </row>
    <row r="588" spans="7:8" ht="15.75" customHeight="1" x14ac:dyDescent="0.25">
      <c r="G588" s="21"/>
      <c r="H588" s="21"/>
    </row>
    <row r="589" spans="7:8" ht="15.75" customHeight="1" x14ac:dyDescent="0.25">
      <c r="G589" s="21"/>
      <c r="H589" s="21"/>
    </row>
    <row r="590" spans="7:8" ht="15.75" customHeight="1" x14ac:dyDescent="0.25">
      <c r="G590" s="21"/>
      <c r="H590" s="21"/>
    </row>
    <row r="591" spans="7:8" ht="15.75" customHeight="1" x14ac:dyDescent="0.25">
      <c r="G591" s="21"/>
      <c r="H591" s="21"/>
    </row>
    <row r="592" spans="7:8" ht="15.75" customHeight="1" x14ac:dyDescent="0.25">
      <c r="G592" s="21"/>
      <c r="H592" s="21"/>
    </row>
    <row r="593" spans="7:8" ht="15.75" customHeight="1" x14ac:dyDescent="0.25">
      <c r="G593" s="21"/>
      <c r="H593" s="21"/>
    </row>
    <row r="594" spans="7:8" ht="15.75" customHeight="1" x14ac:dyDescent="0.25">
      <c r="G594" s="21"/>
      <c r="H594" s="21"/>
    </row>
    <row r="595" spans="7:8" ht="15.75" customHeight="1" x14ac:dyDescent="0.25">
      <c r="G595" s="21"/>
      <c r="H595" s="21"/>
    </row>
    <row r="596" spans="7:8" ht="15.75" customHeight="1" x14ac:dyDescent="0.25">
      <c r="G596" s="21"/>
      <c r="H596" s="21"/>
    </row>
    <row r="597" spans="7:8" ht="15.75" customHeight="1" x14ac:dyDescent="0.25">
      <c r="G597" s="21"/>
      <c r="H597" s="21"/>
    </row>
    <row r="598" spans="7:8" ht="15.75" customHeight="1" x14ac:dyDescent="0.25">
      <c r="G598" s="21"/>
      <c r="H598" s="21"/>
    </row>
    <row r="599" spans="7:8" ht="15.75" customHeight="1" x14ac:dyDescent="0.25">
      <c r="G599" s="21"/>
      <c r="H599" s="21"/>
    </row>
    <row r="600" spans="7:8" ht="15.75" customHeight="1" x14ac:dyDescent="0.25">
      <c r="G600" s="21"/>
      <c r="H600" s="21"/>
    </row>
    <row r="601" spans="7:8" ht="15.75" customHeight="1" x14ac:dyDescent="0.25">
      <c r="G601" s="21"/>
      <c r="H601" s="21"/>
    </row>
    <row r="602" spans="7:8" ht="15.75" customHeight="1" x14ac:dyDescent="0.25">
      <c r="G602" s="21"/>
      <c r="H602" s="21"/>
    </row>
    <row r="603" spans="7:8" ht="15.75" customHeight="1" x14ac:dyDescent="0.25">
      <c r="G603" s="21"/>
      <c r="H603" s="21"/>
    </row>
    <row r="604" spans="7:8" ht="15.75" customHeight="1" x14ac:dyDescent="0.25">
      <c r="G604" s="21"/>
      <c r="H604" s="21"/>
    </row>
    <row r="605" spans="7:8" ht="15.75" customHeight="1" x14ac:dyDescent="0.25">
      <c r="G605" s="21"/>
      <c r="H605" s="21"/>
    </row>
    <row r="606" spans="7:8" ht="15.75" customHeight="1" x14ac:dyDescent="0.25">
      <c r="G606" s="21"/>
      <c r="H606" s="21"/>
    </row>
    <row r="607" spans="7:8" ht="15.75" customHeight="1" x14ac:dyDescent="0.25">
      <c r="G607" s="21"/>
      <c r="H607" s="21"/>
    </row>
    <row r="608" spans="7:8" ht="15.75" customHeight="1" x14ac:dyDescent="0.25">
      <c r="G608" s="21"/>
      <c r="H608" s="21"/>
    </row>
    <row r="609" spans="7:8" ht="15.75" customHeight="1" x14ac:dyDescent="0.25">
      <c r="G609" s="21"/>
      <c r="H609" s="21"/>
    </row>
    <row r="610" spans="7:8" ht="15.75" customHeight="1" x14ac:dyDescent="0.25">
      <c r="G610" s="21"/>
      <c r="H610" s="21"/>
    </row>
    <row r="611" spans="7:8" ht="15.75" customHeight="1" x14ac:dyDescent="0.25">
      <c r="G611" s="21"/>
      <c r="H611" s="21"/>
    </row>
    <row r="612" spans="7:8" ht="15.75" customHeight="1" x14ac:dyDescent="0.25">
      <c r="G612" s="21"/>
      <c r="H612" s="21"/>
    </row>
    <row r="613" spans="7:8" ht="15.75" customHeight="1" x14ac:dyDescent="0.25">
      <c r="G613" s="21"/>
      <c r="H613" s="21"/>
    </row>
    <row r="614" spans="7:8" ht="15.75" customHeight="1" x14ac:dyDescent="0.25">
      <c r="G614" s="21"/>
      <c r="H614" s="21"/>
    </row>
    <row r="615" spans="7:8" ht="15.75" customHeight="1" x14ac:dyDescent="0.25">
      <c r="G615" s="21"/>
      <c r="H615" s="21"/>
    </row>
    <row r="616" spans="7:8" ht="15.75" customHeight="1" x14ac:dyDescent="0.25">
      <c r="G616" s="21"/>
      <c r="H616" s="21"/>
    </row>
    <row r="617" spans="7:8" ht="15.75" customHeight="1" x14ac:dyDescent="0.25">
      <c r="G617" s="21"/>
      <c r="H617" s="21"/>
    </row>
    <row r="618" spans="7:8" ht="15.75" customHeight="1" x14ac:dyDescent="0.25">
      <c r="G618" s="21"/>
      <c r="H618" s="21"/>
    </row>
    <row r="619" spans="7:8" ht="15.75" customHeight="1" x14ac:dyDescent="0.25">
      <c r="G619" s="21"/>
      <c r="H619" s="21"/>
    </row>
    <row r="620" spans="7:8" ht="15.75" customHeight="1" x14ac:dyDescent="0.25">
      <c r="G620" s="21"/>
      <c r="H620" s="21"/>
    </row>
    <row r="621" spans="7:8" ht="15.75" customHeight="1" x14ac:dyDescent="0.25">
      <c r="G621" s="21"/>
      <c r="H621" s="21"/>
    </row>
    <row r="622" spans="7:8" ht="15.75" customHeight="1" x14ac:dyDescent="0.25">
      <c r="G622" s="21"/>
      <c r="H622" s="21"/>
    </row>
    <row r="623" spans="7:8" ht="15.75" customHeight="1" x14ac:dyDescent="0.25">
      <c r="G623" s="21"/>
      <c r="H623" s="21"/>
    </row>
    <row r="624" spans="7:8" ht="15.75" customHeight="1" x14ac:dyDescent="0.25">
      <c r="G624" s="21"/>
      <c r="H624" s="21"/>
    </row>
    <row r="625" spans="7:8" ht="15.75" customHeight="1" x14ac:dyDescent="0.25">
      <c r="G625" s="21"/>
      <c r="H625" s="21"/>
    </row>
    <row r="626" spans="7:8" ht="15.75" customHeight="1" x14ac:dyDescent="0.25">
      <c r="G626" s="21"/>
      <c r="H626" s="21"/>
    </row>
    <row r="627" spans="7:8" ht="15.75" customHeight="1" x14ac:dyDescent="0.25">
      <c r="G627" s="21"/>
      <c r="H627" s="21"/>
    </row>
    <row r="628" spans="7:8" ht="15.75" customHeight="1" x14ac:dyDescent="0.25">
      <c r="G628" s="21"/>
      <c r="H628" s="21"/>
    </row>
    <row r="629" spans="7:8" ht="15.75" customHeight="1" x14ac:dyDescent="0.25">
      <c r="G629" s="21"/>
      <c r="H629" s="21"/>
    </row>
    <row r="630" spans="7:8" ht="15.75" customHeight="1" x14ac:dyDescent="0.25">
      <c r="G630" s="21"/>
      <c r="H630" s="21"/>
    </row>
    <row r="631" spans="7:8" ht="15.75" customHeight="1" x14ac:dyDescent="0.25">
      <c r="G631" s="21"/>
      <c r="H631" s="21"/>
    </row>
    <row r="632" spans="7:8" ht="15.75" customHeight="1" x14ac:dyDescent="0.25">
      <c r="G632" s="21"/>
      <c r="H632" s="21"/>
    </row>
    <row r="633" spans="7:8" ht="15.75" customHeight="1" x14ac:dyDescent="0.25">
      <c r="G633" s="21"/>
      <c r="H633" s="21"/>
    </row>
    <row r="634" spans="7:8" ht="15.75" customHeight="1" x14ac:dyDescent="0.25">
      <c r="G634" s="21"/>
      <c r="H634" s="21"/>
    </row>
    <row r="635" spans="7:8" ht="15.75" customHeight="1" x14ac:dyDescent="0.25">
      <c r="G635" s="21"/>
      <c r="H635" s="21"/>
    </row>
    <row r="636" spans="7:8" ht="15.75" customHeight="1" x14ac:dyDescent="0.25">
      <c r="G636" s="21"/>
      <c r="H636" s="21"/>
    </row>
    <row r="637" spans="7:8" ht="15.75" customHeight="1" x14ac:dyDescent="0.25">
      <c r="G637" s="21"/>
      <c r="H637" s="21"/>
    </row>
    <row r="638" spans="7:8" ht="15.75" customHeight="1" x14ac:dyDescent="0.25">
      <c r="G638" s="21"/>
      <c r="H638" s="21"/>
    </row>
    <row r="639" spans="7:8" ht="15.75" customHeight="1" x14ac:dyDescent="0.25">
      <c r="G639" s="21"/>
      <c r="H639" s="21"/>
    </row>
    <row r="640" spans="7:8" ht="15.75" customHeight="1" x14ac:dyDescent="0.25">
      <c r="G640" s="21"/>
      <c r="H640" s="21"/>
    </row>
    <row r="641" spans="7:8" ht="15.75" customHeight="1" x14ac:dyDescent="0.25">
      <c r="G641" s="21"/>
      <c r="H641" s="21"/>
    </row>
    <row r="642" spans="7:8" ht="15.75" customHeight="1" x14ac:dyDescent="0.25">
      <c r="G642" s="21"/>
      <c r="H642" s="21"/>
    </row>
    <row r="643" spans="7:8" ht="15.75" customHeight="1" x14ac:dyDescent="0.25">
      <c r="G643" s="21"/>
      <c r="H643" s="21"/>
    </row>
    <row r="644" spans="7:8" ht="15.75" customHeight="1" x14ac:dyDescent="0.25">
      <c r="G644" s="21"/>
      <c r="H644" s="21"/>
    </row>
    <row r="645" spans="7:8" ht="15.75" customHeight="1" x14ac:dyDescent="0.25">
      <c r="G645" s="21"/>
      <c r="H645" s="21"/>
    </row>
    <row r="646" spans="7:8" ht="15.75" customHeight="1" x14ac:dyDescent="0.25">
      <c r="G646" s="21"/>
      <c r="H646" s="21"/>
    </row>
    <row r="647" spans="7:8" ht="15.75" customHeight="1" x14ac:dyDescent="0.25">
      <c r="G647" s="21"/>
      <c r="H647" s="21"/>
    </row>
    <row r="648" spans="7:8" ht="15.75" customHeight="1" x14ac:dyDescent="0.25">
      <c r="G648" s="21"/>
      <c r="H648" s="21"/>
    </row>
    <row r="649" spans="7:8" ht="15.75" customHeight="1" x14ac:dyDescent="0.25">
      <c r="G649" s="21"/>
      <c r="H649" s="21"/>
    </row>
    <row r="650" spans="7:8" ht="15.75" customHeight="1" x14ac:dyDescent="0.25">
      <c r="G650" s="21"/>
      <c r="H650" s="21"/>
    </row>
    <row r="651" spans="7:8" ht="15.75" customHeight="1" x14ac:dyDescent="0.25">
      <c r="G651" s="21"/>
      <c r="H651" s="21"/>
    </row>
    <row r="652" spans="7:8" ht="15.75" customHeight="1" x14ac:dyDescent="0.25">
      <c r="G652" s="21"/>
      <c r="H652" s="21"/>
    </row>
    <row r="653" spans="7:8" ht="15.75" customHeight="1" x14ac:dyDescent="0.25">
      <c r="G653" s="21"/>
      <c r="H653" s="21"/>
    </row>
    <row r="654" spans="7:8" ht="15.75" customHeight="1" x14ac:dyDescent="0.25">
      <c r="G654" s="21"/>
      <c r="H654" s="21"/>
    </row>
    <row r="655" spans="7:8" ht="15.75" customHeight="1" x14ac:dyDescent="0.25">
      <c r="G655" s="21"/>
      <c r="H655" s="21"/>
    </row>
    <row r="656" spans="7:8" ht="15.75" customHeight="1" x14ac:dyDescent="0.25">
      <c r="G656" s="21"/>
      <c r="H656" s="21"/>
    </row>
    <row r="657" spans="7:8" ht="15.75" customHeight="1" x14ac:dyDescent="0.25">
      <c r="G657" s="21"/>
      <c r="H657" s="21"/>
    </row>
    <row r="658" spans="7:8" ht="15.75" customHeight="1" x14ac:dyDescent="0.25">
      <c r="G658" s="21"/>
      <c r="H658" s="21"/>
    </row>
    <row r="659" spans="7:8" ht="15.75" customHeight="1" x14ac:dyDescent="0.25">
      <c r="G659" s="21"/>
      <c r="H659" s="21"/>
    </row>
    <row r="660" spans="7:8" ht="15.75" customHeight="1" x14ac:dyDescent="0.25">
      <c r="G660" s="21"/>
      <c r="H660" s="21"/>
    </row>
    <row r="661" spans="7:8" ht="15.75" customHeight="1" x14ac:dyDescent="0.25">
      <c r="G661" s="21"/>
      <c r="H661" s="21"/>
    </row>
    <row r="662" spans="7:8" ht="15.75" customHeight="1" x14ac:dyDescent="0.25">
      <c r="G662" s="21"/>
      <c r="H662" s="21"/>
    </row>
    <row r="663" spans="7:8" ht="15.75" customHeight="1" x14ac:dyDescent="0.25">
      <c r="G663" s="21"/>
      <c r="H663" s="21"/>
    </row>
    <row r="664" spans="7:8" ht="15.75" customHeight="1" x14ac:dyDescent="0.25">
      <c r="G664" s="21"/>
      <c r="H664" s="21"/>
    </row>
    <row r="665" spans="7:8" ht="15.75" customHeight="1" x14ac:dyDescent="0.25">
      <c r="G665" s="21"/>
      <c r="H665" s="21"/>
    </row>
    <row r="666" spans="7:8" ht="15.75" customHeight="1" x14ac:dyDescent="0.25">
      <c r="G666" s="21"/>
      <c r="H666" s="21"/>
    </row>
    <row r="667" spans="7:8" ht="15.75" customHeight="1" x14ac:dyDescent="0.25">
      <c r="G667" s="21"/>
      <c r="H667" s="21"/>
    </row>
    <row r="668" spans="7:8" ht="15.75" customHeight="1" x14ac:dyDescent="0.25">
      <c r="G668" s="21"/>
      <c r="H668" s="21"/>
    </row>
    <row r="669" spans="7:8" ht="15.75" customHeight="1" x14ac:dyDescent="0.25">
      <c r="G669" s="21"/>
      <c r="H669" s="21"/>
    </row>
    <row r="670" spans="7:8" ht="15.75" customHeight="1" x14ac:dyDescent="0.25">
      <c r="G670" s="21"/>
      <c r="H670" s="21"/>
    </row>
    <row r="671" spans="7:8" ht="15.75" customHeight="1" x14ac:dyDescent="0.25">
      <c r="G671" s="21"/>
      <c r="H671" s="21"/>
    </row>
    <row r="672" spans="7:8" ht="15.75" customHeight="1" x14ac:dyDescent="0.25">
      <c r="G672" s="21"/>
      <c r="H672" s="21"/>
    </row>
    <row r="673" spans="7:8" ht="15.75" customHeight="1" x14ac:dyDescent="0.25">
      <c r="G673" s="21"/>
      <c r="H673" s="21"/>
    </row>
    <row r="674" spans="7:8" ht="15.75" customHeight="1" x14ac:dyDescent="0.25">
      <c r="G674" s="21"/>
      <c r="H674" s="21"/>
    </row>
    <row r="675" spans="7:8" ht="15.75" customHeight="1" x14ac:dyDescent="0.25">
      <c r="G675" s="21"/>
      <c r="H675" s="21"/>
    </row>
    <row r="676" spans="7:8" ht="15.75" customHeight="1" x14ac:dyDescent="0.25">
      <c r="G676" s="21"/>
      <c r="H676" s="21"/>
    </row>
    <row r="677" spans="7:8" ht="15.75" customHeight="1" x14ac:dyDescent="0.25">
      <c r="G677" s="21"/>
      <c r="H677" s="21"/>
    </row>
    <row r="678" spans="7:8" ht="15.75" customHeight="1" x14ac:dyDescent="0.25">
      <c r="G678" s="21"/>
      <c r="H678" s="21"/>
    </row>
    <row r="679" spans="7:8" ht="15.75" customHeight="1" x14ac:dyDescent="0.25">
      <c r="G679" s="21"/>
      <c r="H679" s="21"/>
    </row>
    <row r="680" spans="7:8" ht="15.75" customHeight="1" x14ac:dyDescent="0.25">
      <c r="G680" s="21"/>
      <c r="H680" s="21"/>
    </row>
    <row r="681" spans="7:8" ht="15.75" customHeight="1" x14ac:dyDescent="0.25">
      <c r="G681" s="21"/>
      <c r="H681" s="21"/>
    </row>
    <row r="682" spans="7:8" ht="15.75" customHeight="1" x14ac:dyDescent="0.25">
      <c r="G682" s="21"/>
      <c r="H682" s="21"/>
    </row>
    <row r="683" spans="7:8" ht="15.75" customHeight="1" x14ac:dyDescent="0.25">
      <c r="G683" s="21"/>
      <c r="H683" s="21"/>
    </row>
    <row r="684" spans="7:8" ht="15.75" customHeight="1" x14ac:dyDescent="0.25">
      <c r="G684" s="21"/>
      <c r="H684" s="21"/>
    </row>
    <row r="685" spans="7:8" ht="15.75" customHeight="1" x14ac:dyDescent="0.25">
      <c r="G685" s="21"/>
      <c r="H685" s="21"/>
    </row>
    <row r="686" spans="7:8" ht="15.75" customHeight="1" x14ac:dyDescent="0.25">
      <c r="G686" s="21"/>
      <c r="H686" s="21"/>
    </row>
    <row r="687" spans="7:8" ht="15.75" customHeight="1" x14ac:dyDescent="0.25">
      <c r="G687" s="21"/>
      <c r="H687" s="21"/>
    </row>
    <row r="688" spans="7:8" ht="15.75" customHeight="1" x14ac:dyDescent="0.25">
      <c r="G688" s="21"/>
      <c r="H688" s="21"/>
    </row>
    <row r="689" spans="7:8" ht="15.75" customHeight="1" x14ac:dyDescent="0.25">
      <c r="G689" s="21"/>
      <c r="H689" s="21"/>
    </row>
    <row r="690" spans="7:8" ht="15.75" customHeight="1" x14ac:dyDescent="0.25">
      <c r="G690" s="21"/>
      <c r="H690" s="21"/>
    </row>
    <row r="691" spans="7:8" ht="15.75" customHeight="1" x14ac:dyDescent="0.25">
      <c r="G691" s="21"/>
      <c r="H691" s="21"/>
    </row>
    <row r="692" spans="7:8" ht="15.75" customHeight="1" x14ac:dyDescent="0.25">
      <c r="G692" s="21"/>
      <c r="H692" s="21"/>
    </row>
    <row r="693" spans="7:8" ht="15.75" customHeight="1" x14ac:dyDescent="0.25">
      <c r="G693" s="21"/>
      <c r="H693" s="21"/>
    </row>
    <row r="694" spans="7:8" ht="15.75" customHeight="1" x14ac:dyDescent="0.25">
      <c r="G694" s="21"/>
      <c r="H694" s="21"/>
    </row>
    <row r="695" spans="7:8" ht="15.75" customHeight="1" x14ac:dyDescent="0.25">
      <c r="G695" s="21"/>
      <c r="H695" s="21"/>
    </row>
    <row r="696" spans="7:8" ht="15.75" customHeight="1" x14ac:dyDescent="0.25">
      <c r="G696" s="21"/>
      <c r="H696" s="21"/>
    </row>
    <row r="697" spans="7:8" ht="15.75" customHeight="1" x14ac:dyDescent="0.25">
      <c r="G697" s="21"/>
      <c r="H697" s="21"/>
    </row>
    <row r="698" spans="7:8" ht="15.75" customHeight="1" x14ac:dyDescent="0.25">
      <c r="G698" s="21"/>
      <c r="H698" s="21"/>
    </row>
    <row r="699" spans="7:8" ht="15.75" customHeight="1" x14ac:dyDescent="0.25">
      <c r="G699" s="21"/>
      <c r="H699" s="21"/>
    </row>
    <row r="700" spans="7:8" ht="15.75" customHeight="1" x14ac:dyDescent="0.25">
      <c r="G700" s="21"/>
      <c r="H700" s="21"/>
    </row>
    <row r="701" spans="7:8" ht="15.75" customHeight="1" x14ac:dyDescent="0.25">
      <c r="G701" s="21"/>
      <c r="H701" s="21"/>
    </row>
    <row r="702" spans="7:8" ht="15.75" customHeight="1" x14ac:dyDescent="0.25">
      <c r="G702" s="21"/>
      <c r="H702" s="21"/>
    </row>
    <row r="703" spans="7:8" ht="15.75" customHeight="1" x14ac:dyDescent="0.25">
      <c r="G703" s="21"/>
      <c r="H703" s="21"/>
    </row>
    <row r="704" spans="7:8" ht="15.75" customHeight="1" x14ac:dyDescent="0.25">
      <c r="G704" s="21"/>
      <c r="H704" s="21"/>
    </row>
    <row r="705" spans="7:8" ht="15.75" customHeight="1" x14ac:dyDescent="0.25">
      <c r="G705" s="21"/>
      <c r="H705" s="21"/>
    </row>
    <row r="706" spans="7:8" ht="15.75" customHeight="1" x14ac:dyDescent="0.25">
      <c r="G706" s="21"/>
      <c r="H706" s="21"/>
    </row>
    <row r="707" spans="7:8" ht="15.75" customHeight="1" x14ac:dyDescent="0.25">
      <c r="G707" s="21"/>
      <c r="H707" s="21"/>
    </row>
    <row r="708" spans="7:8" ht="15.75" customHeight="1" x14ac:dyDescent="0.25">
      <c r="G708" s="21"/>
      <c r="H708" s="21"/>
    </row>
    <row r="709" spans="7:8" ht="15.75" customHeight="1" x14ac:dyDescent="0.25">
      <c r="G709" s="21"/>
      <c r="H709" s="21"/>
    </row>
    <row r="710" spans="7:8" ht="15.75" customHeight="1" x14ac:dyDescent="0.25">
      <c r="G710" s="21"/>
      <c r="H710" s="21"/>
    </row>
    <row r="711" spans="7:8" ht="15.75" customHeight="1" x14ac:dyDescent="0.25">
      <c r="G711" s="21"/>
      <c r="H711" s="21"/>
    </row>
    <row r="712" spans="7:8" ht="15.75" customHeight="1" x14ac:dyDescent="0.25">
      <c r="G712" s="21"/>
      <c r="H712" s="21"/>
    </row>
    <row r="713" spans="7:8" ht="15.75" customHeight="1" x14ac:dyDescent="0.25">
      <c r="G713" s="21"/>
      <c r="H713" s="21"/>
    </row>
    <row r="714" spans="7:8" ht="15.75" customHeight="1" x14ac:dyDescent="0.25">
      <c r="G714" s="21"/>
      <c r="H714" s="21"/>
    </row>
    <row r="715" spans="7:8" ht="15.75" customHeight="1" x14ac:dyDescent="0.25">
      <c r="G715" s="21"/>
      <c r="H715" s="21"/>
    </row>
    <row r="716" spans="7:8" ht="15.75" customHeight="1" x14ac:dyDescent="0.25">
      <c r="G716" s="21"/>
      <c r="H716" s="21"/>
    </row>
    <row r="717" spans="7:8" ht="15.75" customHeight="1" x14ac:dyDescent="0.25">
      <c r="G717" s="21"/>
      <c r="H717" s="21"/>
    </row>
    <row r="718" spans="7:8" ht="15.75" customHeight="1" x14ac:dyDescent="0.25">
      <c r="G718" s="21"/>
      <c r="H718" s="21"/>
    </row>
    <row r="719" spans="7:8" ht="15.75" customHeight="1" x14ac:dyDescent="0.25">
      <c r="G719" s="21"/>
      <c r="H719" s="21"/>
    </row>
    <row r="720" spans="7:8" ht="15.75" customHeight="1" x14ac:dyDescent="0.25">
      <c r="G720" s="21"/>
      <c r="H720" s="21"/>
    </row>
    <row r="721" spans="7:8" ht="15.75" customHeight="1" x14ac:dyDescent="0.25">
      <c r="G721" s="21"/>
      <c r="H721" s="21"/>
    </row>
    <row r="722" spans="7:8" ht="15.75" customHeight="1" x14ac:dyDescent="0.25">
      <c r="G722" s="21"/>
      <c r="H722" s="21"/>
    </row>
    <row r="723" spans="7:8" ht="15.75" customHeight="1" x14ac:dyDescent="0.25">
      <c r="G723" s="21"/>
      <c r="H723" s="21"/>
    </row>
    <row r="724" spans="7:8" ht="15.75" customHeight="1" x14ac:dyDescent="0.25">
      <c r="G724" s="21"/>
      <c r="H724" s="21"/>
    </row>
    <row r="725" spans="7:8" ht="15.75" customHeight="1" x14ac:dyDescent="0.25">
      <c r="G725" s="21"/>
      <c r="H725" s="21"/>
    </row>
    <row r="726" spans="7:8" ht="15.75" customHeight="1" x14ac:dyDescent="0.25">
      <c r="G726" s="21"/>
      <c r="H726" s="21"/>
    </row>
    <row r="727" spans="7:8" ht="15.75" customHeight="1" x14ac:dyDescent="0.25">
      <c r="G727" s="21"/>
      <c r="H727" s="21"/>
    </row>
    <row r="728" spans="7:8" ht="15.75" customHeight="1" x14ac:dyDescent="0.25">
      <c r="G728" s="21"/>
      <c r="H728" s="21"/>
    </row>
    <row r="729" spans="7:8" ht="15.75" customHeight="1" x14ac:dyDescent="0.25">
      <c r="G729" s="21"/>
      <c r="H729" s="21"/>
    </row>
    <row r="730" spans="7:8" ht="15.75" customHeight="1" x14ac:dyDescent="0.25">
      <c r="G730" s="21"/>
      <c r="H730" s="21"/>
    </row>
    <row r="731" spans="7:8" ht="15.75" customHeight="1" x14ac:dyDescent="0.25">
      <c r="G731" s="21"/>
      <c r="H731" s="21"/>
    </row>
    <row r="732" spans="7:8" ht="15.75" customHeight="1" x14ac:dyDescent="0.25">
      <c r="G732" s="21"/>
      <c r="H732" s="21"/>
    </row>
    <row r="733" spans="7:8" ht="15.75" customHeight="1" x14ac:dyDescent="0.25">
      <c r="G733" s="21"/>
      <c r="H733" s="21"/>
    </row>
    <row r="734" spans="7:8" ht="15.75" customHeight="1" x14ac:dyDescent="0.25">
      <c r="G734" s="21"/>
      <c r="H734" s="21"/>
    </row>
    <row r="735" spans="7:8" ht="15.75" customHeight="1" x14ac:dyDescent="0.25">
      <c r="G735" s="21"/>
      <c r="H735" s="21"/>
    </row>
    <row r="736" spans="7:8" ht="15.75" customHeight="1" x14ac:dyDescent="0.25">
      <c r="G736" s="21"/>
      <c r="H736" s="21"/>
    </row>
    <row r="737" spans="7:8" ht="15.75" customHeight="1" x14ac:dyDescent="0.25">
      <c r="G737" s="21"/>
      <c r="H737" s="21"/>
    </row>
    <row r="738" spans="7:8" ht="15.75" customHeight="1" x14ac:dyDescent="0.25">
      <c r="G738" s="21"/>
      <c r="H738" s="21"/>
    </row>
    <row r="739" spans="7:8" ht="15.75" customHeight="1" x14ac:dyDescent="0.25">
      <c r="G739" s="21"/>
      <c r="H739" s="21"/>
    </row>
    <row r="740" spans="7:8" ht="15.75" customHeight="1" x14ac:dyDescent="0.25">
      <c r="G740" s="21"/>
      <c r="H740" s="21"/>
    </row>
    <row r="741" spans="7:8" ht="15.75" customHeight="1" x14ac:dyDescent="0.25">
      <c r="G741" s="21"/>
      <c r="H741" s="21"/>
    </row>
    <row r="742" spans="7:8" ht="15.75" customHeight="1" x14ac:dyDescent="0.25">
      <c r="G742" s="21"/>
      <c r="H742" s="21"/>
    </row>
    <row r="743" spans="7:8" ht="15.75" customHeight="1" x14ac:dyDescent="0.25">
      <c r="G743" s="21"/>
      <c r="H743" s="21"/>
    </row>
    <row r="744" spans="7:8" ht="15.75" customHeight="1" x14ac:dyDescent="0.25">
      <c r="G744" s="21"/>
      <c r="H744" s="21"/>
    </row>
    <row r="745" spans="7:8" ht="15.75" customHeight="1" x14ac:dyDescent="0.25">
      <c r="G745" s="21"/>
      <c r="H745" s="21"/>
    </row>
    <row r="746" spans="7:8" ht="15.75" customHeight="1" x14ac:dyDescent="0.25">
      <c r="G746" s="21"/>
      <c r="H746" s="21"/>
    </row>
    <row r="747" spans="7:8" ht="15.75" customHeight="1" x14ac:dyDescent="0.25">
      <c r="G747" s="21"/>
      <c r="H747" s="21"/>
    </row>
    <row r="748" spans="7:8" ht="15.75" customHeight="1" x14ac:dyDescent="0.25">
      <c r="G748" s="21"/>
      <c r="H748" s="21"/>
    </row>
    <row r="749" spans="7:8" ht="15.75" customHeight="1" x14ac:dyDescent="0.25">
      <c r="G749" s="21"/>
      <c r="H749" s="21"/>
    </row>
    <row r="750" spans="7:8" ht="15.75" customHeight="1" x14ac:dyDescent="0.25">
      <c r="G750" s="21"/>
      <c r="H750" s="21"/>
    </row>
    <row r="751" spans="7:8" ht="15.75" customHeight="1" x14ac:dyDescent="0.25">
      <c r="G751" s="21"/>
      <c r="H751" s="21"/>
    </row>
    <row r="752" spans="7:8" ht="15.75" customHeight="1" x14ac:dyDescent="0.25">
      <c r="G752" s="21"/>
      <c r="H752" s="21"/>
    </row>
    <row r="753" spans="7:8" ht="15.75" customHeight="1" x14ac:dyDescent="0.25">
      <c r="G753" s="21"/>
      <c r="H753" s="21"/>
    </row>
    <row r="754" spans="7:8" ht="15.75" customHeight="1" x14ac:dyDescent="0.25">
      <c r="G754" s="21"/>
      <c r="H754" s="21"/>
    </row>
    <row r="755" spans="7:8" ht="15.75" customHeight="1" x14ac:dyDescent="0.25">
      <c r="G755" s="21"/>
      <c r="H755" s="21"/>
    </row>
    <row r="756" spans="7:8" ht="15.75" customHeight="1" x14ac:dyDescent="0.25">
      <c r="G756" s="21"/>
      <c r="H756" s="21"/>
    </row>
    <row r="757" spans="7:8" ht="15.75" customHeight="1" x14ac:dyDescent="0.25">
      <c r="G757" s="21"/>
      <c r="H757" s="21"/>
    </row>
    <row r="758" spans="7:8" ht="15.75" customHeight="1" x14ac:dyDescent="0.25">
      <c r="G758" s="21"/>
      <c r="H758" s="21"/>
    </row>
    <row r="759" spans="7:8" ht="15.75" customHeight="1" x14ac:dyDescent="0.25">
      <c r="G759" s="21"/>
      <c r="H759" s="21"/>
    </row>
    <row r="760" spans="7:8" ht="15.75" customHeight="1" x14ac:dyDescent="0.25">
      <c r="G760" s="21"/>
      <c r="H760" s="21"/>
    </row>
    <row r="761" spans="7:8" ht="15.75" customHeight="1" x14ac:dyDescent="0.25">
      <c r="G761" s="21"/>
      <c r="H761" s="21"/>
    </row>
    <row r="762" spans="7:8" ht="15.75" customHeight="1" x14ac:dyDescent="0.25">
      <c r="G762" s="21"/>
      <c r="H762" s="21"/>
    </row>
    <row r="763" spans="7:8" ht="15.75" customHeight="1" x14ac:dyDescent="0.25">
      <c r="G763" s="21"/>
      <c r="H763" s="21"/>
    </row>
    <row r="764" spans="7:8" ht="15.75" customHeight="1" x14ac:dyDescent="0.25">
      <c r="G764" s="21"/>
      <c r="H764" s="21"/>
    </row>
    <row r="765" spans="7:8" ht="15.75" customHeight="1" x14ac:dyDescent="0.25">
      <c r="G765" s="21"/>
      <c r="H765" s="21"/>
    </row>
    <row r="766" spans="7:8" ht="15.75" customHeight="1" x14ac:dyDescent="0.25">
      <c r="G766" s="21"/>
      <c r="H766" s="21"/>
    </row>
    <row r="767" spans="7:8" ht="15.75" customHeight="1" x14ac:dyDescent="0.25">
      <c r="G767" s="21"/>
      <c r="H767" s="21"/>
    </row>
    <row r="768" spans="7:8" ht="15.75" customHeight="1" x14ac:dyDescent="0.25">
      <c r="G768" s="21"/>
      <c r="H768" s="21"/>
    </row>
    <row r="769" spans="7:8" ht="15.75" customHeight="1" x14ac:dyDescent="0.25">
      <c r="G769" s="21"/>
      <c r="H769" s="21"/>
    </row>
    <row r="770" spans="7:8" ht="15.75" customHeight="1" x14ac:dyDescent="0.25">
      <c r="G770" s="21"/>
      <c r="H770" s="21"/>
    </row>
    <row r="771" spans="7:8" ht="15.75" customHeight="1" x14ac:dyDescent="0.25">
      <c r="G771" s="21"/>
      <c r="H771" s="21"/>
    </row>
    <row r="772" spans="7:8" ht="15.75" customHeight="1" x14ac:dyDescent="0.25">
      <c r="G772" s="21"/>
      <c r="H772" s="21"/>
    </row>
    <row r="773" spans="7:8" ht="15.75" customHeight="1" x14ac:dyDescent="0.25">
      <c r="G773" s="21"/>
      <c r="H773" s="21"/>
    </row>
    <row r="774" spans="7:8" ht="15.75" customHeight="1" x14ac:dyDescent="0.25">
      <c r="G774" s="21"/>
      <c r="H774" s="21"/>
    </row>
    <row r="775" spans="7:8" ht="15.75" customHeight="1" x14ac:dyDescent="0.25">
      <c r="G775" s="21"/>
      <c r="H775" s="21"/>
    </row>
    <row r="776" spans="7:8" ht="15.75" customHeight="1" x14ac:dyDescent="0.25">
      <c r="G776" s="21"/>
      <c r="H776" s="21"/>
    </row>
    <row r="777" spans="7:8" ht="15.75" customHeight="1" x14ac:dyDescent="0.25">
      <c r="G777" s="21"/>
      <c r="H777" s="21"/>
    </row>
    <row r="778" spans="7:8" ht="15.75" customHeight="1" x14ac:dyDescent="0.25">
      <c r="G778" s="21"/>
      <c r="H778" s="21"/>
    </row>
    <row r="779" spans="7:8" ht="15.75" customHeight="1" x14ac:dyDescent="0.25">
      <c r="G779" s="21"/>
      <c r="H779" s="21"/>
    </row>
    <row r="780" spans="7:8" ht="15.75" customHeight="1" x14ac:dyDescent="0.25">
      <c r="G780" s="21"/>
      <c r="H780" s="21"/>
    </row>
    <row r="781" spans="7:8" ht="15.75" customHeight="1" x14ac:dyDescent="0.25">
      <c r="G781" s="21"/>
      <c r="H781" s="21"/>
    </row>
    <row r="782" spans="7:8" ht="15.75" customHeight="1" x14ac:dyDescent="0.25">
      <c r="G782" s="21"/>
      <c r="H782" s="21"/>
    </row>
    <row r="783" spans="7:8" ht="15.75" customHeight="1" x14ac:dyDescent="0.25">
      <c r="G783" s="21"/>
      <c r="H783" s="21"/>
    </row>
    <row r="784" spans="7:8" ht="15.75" customHeight="1" x14ac:dyDescent="0.25">
      <c r="G784" s="21"/>
      <c r="H784" s="21"/>
    </row>
    <row r="785" spans="7:8" ht="15.75" customHeight="1" x14ac:dyDescent="0.25">
      <c r="G785" s="21"/>
      <c r="H785" s="21"/>
    </row>
    <row r="786" spans="7:8" ht="15.75" customHeight="1" x14ac:dyDescent="0.25">
      <c r="G786" s="21"/>
      <c r="H786" s="21"/>
    </row>
    <row r="787" spans="7:8" ht="15.75" customHeight="1" x14ac:dyDescent="0.25">
      <c r="G787" s="21"/>
      <c r="H787" s="21"/>
    </row>
    <row r="788" spans="7:8" ht="15.75" customHeight="1" x14ac:dyDescent="0.25">
      <c r="G788" s="21"/>
      <c r="H788" s="21"/>
    </row>
    <row r="789" spans="7:8" ht="15.75" customHeight="1" x14ac:dyDescent="0.25">
      <c r="G789" s="21"/>
      <c r="H789" s="21"/>
    </row>
    <row r="790" spans="7:8" ht="15.75" customHeight="1" x14ac:dyDescent="0.25">
      <c r="G790" s="21"/>
      <c r="H790" s="21"/>
    </row>
    <row r="791" spans="7:8" ht="15.75" customHeight="1" x14ac:dyDescent="0.25">
      <c r="G791" s="21"/>
      <c r="H791" s="21"/>
    </row>
    <row r="792" spans="7:8" ht="15.75" customHeight="1" x14ac:dyDescent="0.25">
      <c r="G792" s="21"/>
      <c r="H792" s="21"/>
    </row>
    <row r="793" spans="7:8" ht="15.75" customHeight="1" x14ac:dyDescent="0.25">
      <c r="G793" s="21"/>
      <c r="H793" s="21"/>
    </row>
    <row r="794" spans="7:8" ht="15.75" customHeight="1" x14ac:dyDescent="0.25">
      <c r="G794" s="21"/>
      <c r="H794" s="21"/>
    </row>
    <row r="795" spans="7:8" ht="15.75" customHeight="1" x14ac:dyDescent="0.25">
      <c r="G795" s="21"/>
      <c r="H795" s="21"/>
    </row>
    <row r="796" spans="7:8" ht="15.75" customHeight="1" x14ac:dyDescent="0.25">
      <c r="G796" s="21"/>
      <c r="H796" s="21"/>
    </row>
    <row r="797" spans="7:8" ht="15.75" customHeight="1" x14ac:dyDescent="0.25">
      <c r="G797" s="21"/>
      <c r="H797" s="21"/>
    </row>
    <row r="798" spans="7:8" ht="15.75" customHeight="1" x14ac:dyDescent="0.25">
      <c r="G798" s="21"/>
      <c r="H798" s="21"/>
    </row>
    <row r="799" spans="7:8" ht="15.75" customHeight="1" x14ac:dyDescent="0.25">
      <c r="G799" s="21"/>
      <c r="H799" s="21"/>
    </row>
    <row r="800" spans="7:8" ht="15.75" customHeight="1" x14ac:dyDescent="0.25">
      <c r="G800" s="21"/>
      <c r="H800" s="21"/>
    </row>
    <row r="801" spans="7:8" ht="15.75" customHeight="1" x14ac:dyDescent="0.25">
      <c r="G801" s="21"/>
      <c r="H801" s="21"/>
    </row>
    <row r="802" spans="7:8" ht="15.75" customHeight="1" x14ac:dyDescent="0.25">
      <c r="G802" s="21"/>
      <c r="H802" s="21"/>
    </row>
    <row r="803" spans="7:8" ht="15.75" customHeight="1" x14ac:dyDescent="0.25">
      <c r="G803" s="21"/>
      <c r="H803" s="21"/>
    </row>
    <row r="804" spans="7:8" ht="15.75" customHeight="1" x14ac:dyDescent="0.25">
      <c r="G804" s="21"/>
      <c r="H804" s="21"/>
    </row>
    <row r="805" spans="7:8" ht="15.75" customHeight="1" x14ac:dyDescent="0.25">
      <c r="G805" s="21"/>
      <c r="H805" s="21"/>
    </row>
    <row r="806" spans="7:8" ht="15.75" customHeight="1" x14ac:dyDescent="0.25">
      <c r="G806" s="21"/>
      <c r="H806" s="21"/>
    </row>
    <row r="807" spans="7:8" ht="15.75" customHeight="1" x14ac:dyDescent="0.25">
      <c r="G807" s="21"/>
      <c r="H807" s="21"/>
    </row>
    <row r="808" spans="7:8" ht="15.75" customHeight="1" x14ac:dyDescent="0.25">
      <c r="G808" s="21"/>
      <c r="H808" s="21"/>
    </row>
    <row r="809" spans="7:8" ht="15.75" customHeight="1" x14ac:dyDescent="0.25">
      <c r="G809" s="21"/>
      <c r="H809" s="21"/>
    </row>
    <row r="810" spans="7:8" ht="15.75" customHeight="1" x14ac:dyDescent="0.25">
      <c r="G810" s="21"/>
      <c r="H810" s="21"/>
    </row>
    <row r="811" spans="7:8" ht="15.75" customHeight="1" x14ac:dyDescent="0.25">
      <c r="G811" s="21"/>
      <c r="H811" s="21"/>
    </row>
    <row r="812" spans="7:8" ht="15.75" customHeight="1" x14ac:dyDescent="0.25">
      <c r="G812" s="21"/>
      <c r="H812" s="21"/>
    </row>
    <row r="813" spans="7:8" ht="15.75" customHeight="1" x14ac:dyDescent="0.25">
      <c r="G813" s="21"/>
      <c r="H813" s="21"/>
    </row>
    <row r="814" spans="7:8" ht="15.75" customHeight="1" x14ac:dyDescent="0.25">
      <c r="G814" s="21"/>
      <c r="H814" s="21"/>
    </row>
    <row r="815" spans="7:8" ht="15.75" customHeight="1" x14ac:dyDescent="0.25">
      <c r="G815" s="21"/>
      <c r="H815" s="21"/>
    </row>
    <row r="816" spans="7:8" ht="15.75" customHeight="1" x14ac:dyDescent="0.25">
      <c r="G816" s="21"/>
      <c r="H816" s="21"/>
    </row>
    <row r="817" spans="7:8" ht="15.75" customHeight="1" x14ac:dyDescent="0.25">
      <c r="G817" s="21"/>
      <c r="H817" s="21"/>
    </row>
    <row r="818" spans="7:8" ht="15.75" customHeight="1" x14ac:dyDescent="0.25">
      <c r="G818" s="21"/>
      <c r="H818" s="21"/>
    </row>
    <row r="819" spans="7:8" ht="15.75" customHeight="1" x14ac:dyDescent="0.25">
      <c r="G819" s="21"/>
      <c r="H819" s="21"/>
    </row>
    <row r="820" spans="7:8" ht="15.75" customHeight="1" x14ac:dyDescent="0.25">
      <c r="G820" s="21"/>
      <c r="H820" s="21"/>
    </row>
    <row r="821" spans="7:8" ht="15.75" customHeight="1" x14ac:dyDescent="0.25">
      <c r="G821" s="21"/>
      <c r="H821" s="21"/>
    </row>
    <row r="822" spans="7:8" ht="15.75" customHeight="1" x14ac:dyDescent="0.25">
      <c r="G822" s="21"/>
      <c r="H822" s="21"/>
    </row>
    <row r="823" spans="7:8" ht="15.75" customHeight="1" x14ac:dyDescent="0.25">
      <c r="G823" s="21"/>
      <c r="H823" s="21"/>
    </row>
    <row r="824" spans="7:8" ht="15.75" customHeight="1" x14ac:dyDescent="0.25">
      <c r="G824" s="21"/>
      <c r="H824" s="21"/>
    </row>
    <row r="825" spans="7:8" ht="15.75" customHeight="1" x14ac:dyDescent="0.25">
      <c r="G825" s="21"/>
      <c r="H825" s="21"/>
    </row>
    <row r="826" spans="7:8" ht="15.75" customHeight="1" x14ac:dyDescent="0.25">
      <c r="G826" s="21"/>
      <c r="H826" s="21"/>
    </row>
    <row r="827" spans="7:8" ht="15.75" customHeight="1" x14ac:dyDescent="0.25">
      <c r="G827" s="21"/>
      <c r="H827" s="21"/>
    </row>
    <row r="828" spans="7:8" ht="15.75" customHeight="1" x14ac:dyDescent="0.25">
      <c r="G828" s="21"/>
      <c r="H828" s="21"/>
    </row>
    <row r="829" spans="7:8" ht="15.75" customHeight="1" x14ac:dyDescent="0.25">
      <c r="G829" s="21"/>
      <c r="H829" s="21"/>
    </row>
    <row r="830" spans="7:8" ht="15.75" customHeight="1" x14ac:dyDescent="0.25">
      <c r="G830" s="21"/>
      <c r="H830" s="21"/>
    </row>
    <row r="831" spans="7:8" ht="15.75" customHeight="1" x14ac:dyDescent="0.25">
      <c r="G831" s="21"/>
      <c r="H831" s="21"/>
    </row>
    <row r="832" spans="7:8" ht="15.75" customHeight="1" x14ac:dyDescent="0.25">
      <c r="G832" s="21"/>
      <c r="H832" s="21"/>
    </row>
    <row r="833" spans="7:8" ht="15.75" customHeight="1" x14ac:dyDescent="0.25">
      <c r="G833" s="21"/>
      <c r="H833" s="21"/>
    </row>
    <row r="834" spans="7:8" ht="15.75" customHeight="1" x14ac:dyDescent="0.25">
      <c r="G834" s="21"/>
      <c r="H834" s="21"/>
    </row>
    <row r="835" spans="7:8" ht="15.75" customHeight="1" x14ac:dyDescent="0.25">
      <c r="G835" s="21"/>
      <c r="H835" s="21"/>
    </row>
    <row r="836" spans="7:8" ht="15.75" customHeight="1" x14ac:dyDescent="0.25">
      <c r="G836" s="21"/>
      <c r="H836" s="21"/>
    </row>
    <row r="837" spans="7:8" ht="15.75" customHeight="1" x14ac:dyDescent="0.25">
      <c r="G837" s="21"/>
      <c r="H837" s="21"/>
    </row>
    <row r="838" spans="7:8" ht="15.75" customHeight="1" x14ac:dyDescent="0.25">
      <c r="G838" s="21"/>
      <c r="H838" s="21"/>
    </row>
    <row r="839" spans="7:8" ht="15.75" customHeight="1" x14ac:dyDescent="0.25">
      <c r="G839" s="21"/>
      <c r="H839" s="21"/>
    </row>
    <row r="840" spans="7:8" ht="15.75" customHeight="1" x14ac:dyDescent="0.25">
      <c r="G840" s="21"/>
      <c r="H840" s="21"/>
    </row>
    <row r="841" spans="7:8" ht="15.75" customHeight="1" x14ac:dyDescent="0.25">
      <c r="G841" s="21"/>
      <c r="H841" s="21"/>
    </row>
    <row r="842" spans="7:8" ht="15.75" customHeight="1" x14ac:dyDescent="0.25">
      <c r="G842" s="21"/>
      <c r="H842" s="21"/>
    </row>
    <row r="843" spans="7:8" ht="15.75" customHeight="1" x14ac:dyDescent="0.25">
      <c r="G843" s="21"/>
      <c r="H843" s="21"/>
    </row>
    <row r="844" spans="7:8" ht="15.75" customHeight="1" x14ac:dyDescent="0.25">
      <c r="G844" s="21"/>
      <c r="H844" s="21"/>
    </row>
    <row r="845" spans="7:8" ht="15.75" customHeight="1" x14ac:dyDescent="0.25">
      <c r="G845" s="21"/>
      <c r="H845" s="21"/>
    </row>
    <row r="846" spans="7:8" ht="15.75" customHeight="1" x14ac:dyDescent="0.25">
      <c r="G846" s="21"/>
      <c r="H846" s="21"/>
    </row>
    <row r="847" spans="7:8" ht="15.75" customHeight="1" x14ac:dyDescent="0.25">
      <c r="G847" s="21"/>
      <c r="H847" s="21"/>
    </row>
    <row r="848" spans="7:8" ht="15.75" customHeight="1" x14ac:dyDescent="0.25">
      <c r="G848" s="21"/>
      <c r="H848" s="21"/>
    </row>
    <row r="849" spans="7:8" ht="15.75" customHeight="1" x14ac:dyDescent="0.25">
      <c r="G849" s="21"/>
      <c r="H849" s="21"/>
    </row>
    <row r="850" spans="7:8" ht="15.75" customHeight="1" x14ac:dyDescent="0.25">
      <c r="G850" s="21"/>
      <c r="H850" s="21"/>
    </row>
    <row r="851" spans="7:8" ht="15.75" customHeight="1" x14ac:dyDescent="0.25">
      <c r="G851" s="21"/>
      <c r="H851" s="21"/>
    </row>
    <row r="852" spans="7:8" ht="15.75" customHeight="1" x14ac:dyDescent="0.25">
      <c r="G852" s="21"/>
      <c r="H852" s="21"/>
    </row>
    <row r="853" spans="7:8" ht="15.75" customHeight="1" x14ac:dyDescent="0.25">
      <c r="G853" s="21"/>
      <c r="H853" s="21"/>
    </row>
    <row r="854" spans="7:8" ht="15.75" customHeight="1" x14ac:dyDescent="0.25">
      <c r="G854" s="21"/>
      <c r="H854" s="21"/>
    </row>
    <row r="855" spans="7:8" ht="15.75" customHeight="1" x14ac:dyDescent="0.25">
      <c r="G855" s="21"/>
      <c r="H855" s="21"/>
    </row>
    <row r="856" spans="7:8" ht="15.75" customHeight="1" x14ac:dyDescent="0.25">
      <c r="G856" s="21"/>
      <c r="H856" s="21"/>
    </row>
    <row r="857" spans="7:8" ht="15.75" customHeight="1" x14ac:dyDescent="0.25">
      <c r="G857" s="21"/>
      <c r="H857" s="21"/>
    </row>
    <row r="858" spans="7:8" ht="15.75" customHeight="1" x14ac:dyDescent="0.25">
      <c r="G858" s="21"/>
      <c r="H858" s="21"/>
    </row>
    <row r="859" spans="7:8" ht="15.75" customHeight="1" x14ac:dyDescent="0.25">
      <c r="G859" s="21"/>
      <c r="H859" s="21"/>
    </row>
    <row r="860" spans="7:8" ht="15.75" customHeight="1" x14ac:dyDescent="0.25">
      <c r="G860" s="21"/>
      <c r="H860" s="21"/>
    </row>
    <row r="861" spans="7:8" ht="15.75" customHeight="1" x14ac:dyDescent="0.25">
      <c r="G861" s="21"/>
      <c r="H861" s="21"/>
    </row>
    <row r="862" spans="7:8" ht="15.75" customHeight="1" x14ac:dyDescent="0.25">
      <c r="G862" s="21"/>
      <c r="H862" s="21"/>
    </row>
    <row r="863" spans="7:8" ht="15.75" customHeight="1" x14ac:dyDescent="0.25">
      <c r="G863" s="21"/>
      <c r="H863" s="21"/>
    </row>
    <row r="864" spans="7:8" ht="15.75" customHeight="1" x14ac:dyDescent="0.25">
      <c r="G864" s="21"/>
      <c r="H864" s="21"/>
    </row>
    <row r="865" spans="7:8" ht="15.75" customHeight="1" x14ac:dyDescent="0.25">
      <c r="G865" s="21"/>
      <c r="H865" s="21"/>
    </row>
    <row r="866" spans="7:8" ht="15.75" customHeight="1" x14ac:dyDescent="0.25">
      <c r="G866" s="21"/>
      <c r="H866" s="21"/>
    </row>
    <row r="867" spans="7:8" ht="15.75" customHeight="1" x14ac:dyDescent="0.25">
      <c r="G867" s="21"/>
      <c r="H867" s="21"/>
    </row>
    <row r="868" spans="7:8" ht="15.75" customHeight="1" x14ac:dyDescent="0.25">
      <c r="G868" s="21"/>
      <c r="H868" s="21"/>
    </row>
    <row r="869" spans="7:8" ht="15.75" customHeight="1" x14ac:dyDescent="0.25">
      <c r="G869" s="21"/>
      <c r="H869" s="21"/>
    </row>
    <row r="870" spans="7:8" ht="15.75" customHeight="1" x14ac:dyDescent="0.25">
      <c r="G870" s="21"/>
      <c r="H870" s="21"/>
    </row>
    <row r="871" spans="7:8" ht="15.75" customHeight="1" x14ac:dyDescent="0.25">
      <c r="G871" s="21"/>
      <c r="H871" s="21"/>
    </row>
    <row r="872" spans="7:8" ht="15.75" customHeight="1" x14ac:dyDescent="0.25">
      <c r="G872" s="21"/>
      <c r="H872" s="21"/>
    </row>
    <row r="873" spans="7:8" ht="15.75" customHeight="1" x14ac:dyDescent="0.25">
      <c r="G873" s="21"/>
      <c r="H873" s="21"/>
    </row>
    <row r="874" spans="7:8" ht="15.75" customHeight="1" x14ac:dyDescent="0.25">
      <c r="G874" s="21"/>
      <c r="H874" s="21"/>
    </row>
    <row r="875" spans="7:8" ht="15.75" customHeight="1" x14ac:dyDescent="0.25">
      <c r="G875" s="21"/>
      <c r="H875" s="21"/>
    </row>
    <row r="876" spans="7:8" ht="15.75" customHeight="1" x14ac:dyDescent="0.25">
      <c r="G876" s="21"/>
      <c r="H876" s="21"/>
    </row>
    <row r="877" spans="7:8" ht="15.75" customHeight="1" x14ac:dyDescent="0.25">
      <c r="G877" s="21"/>
      <c r="H877" s="21"/>
    </row>
    <row r="878" spans="7:8" ht="15.75" customHeight="1" x14ac:dyDescent="0.25">
      <c r="G878" s="21"/>
      <c r="H878" s="21"/>
    </row>
    <row r="879" spans="7:8" ht="15.75" customHeight="1" x14ac:dyDescent="0.25">
      <c r="G879" s="21"/>
      <c r="H879" s="21"/>
    </row>
    <row r="880" spans="7:8" ht="15.75" customHeight="1" x14ac:dyDescent="0.25">
      <c r="G880" s="21"/>
      <c r="H880" s="21"/>
    </row>
    <row r="881" spans="7:8" ht="15.75" customHeight="1" x14ac:dyDescent="0.25">
      <c r="G881" s="21"/>
      <c r="H881" s="21"/>
    </row>
    <row r="882" spans="7:8" ht="15.75" customHeight="1" x14ac:dyDescent="0.25">
      <c r="G882" s="21"/>
      <c r="H882" s="21"/>
    </row>
    <row r="883" spans="7:8" ht="15.75" customHeight="1" x14ac:dyDescent="0.25">
      <c r="G883" s="21"/>
      <c r="H883" s="21"/>
    </row>
    <row r="884" spans="7:8" ht="15.75" customHeight="1" x14ac:dyDescent="0.25">
      <c r="G884" s="21"/>
      <c r="H884" s="21"/>
    </row>
    <row r="885" spans="7:8" ht="15.75" customHeight="1" x14ac:dyDescent="0.25">
      <c r="G885" s="21"/>
      <c r="H885" s="21"/>
    </row>
    <row r="886" spans="7:8" ht="15.75" customHeight="1" x14ac:dyDescent="0.25">
      <c r="G886" s="21"/>
      <c r="H886" s="21"/>
    </row>
    <row r="887" spans="7:8" ht="15.75" customHeight="1" x14ac:dyDescent="0.25">
      <c r="G887" s="21"/>
      <c r="H887" s="21"/>
    </row>
    <row r="888" spans="7:8" ht="15.75" customHeight="1" x14ac:dyDescent="0.25">
      <c r="G888" s="21"/>
      <c r="H888" s="21"/>
    </row>
    <row r="889" spans="7:8" ht="15.75" customHeight="1" x14ac:dyDescent="0.25">
      <c r="G889" s="21"/>
      <c r="H889" s="21"/>
    </row>
    <row r="890" spans="7:8" ht="15.75" customHeight="1" x14ac:dyDescent="0.25">
      <c r="G890" s="21"/>
      <c r="H890" s="21"/>
    </row>
    <row r="891" spans="7:8" ht="15.75" customHeight="1" x14ac:dyDescent="0.25">
      <c r="G891" s="21"/>
      <c r="H891" s="21"/>
    </row>
    <row r="892" spans="7:8" ht="15.75" customHeight="1" x14ac:dyDescent="0.25">
      <c r="G892" s="21"/>
      <c r="H892" s="21"/>
    </row>
    <row r="893" spans="7:8" ht="15.75" customHeight="1" x14ac:dyDescent="0.25">
      <c r="G893" s="21"/>
      <c r="H893" s="21"/>
    </row>
    <row r="894" spans="7:8" ht="15.75" customHeight="1" x14ac:dyDescent="0.25">
      <c r="G894" s="21"/>
      <c r="H894" s="21"/>
    </row>
    <row r="895" spans="7:8" ht="15.75" customHeight="1" x14ac:dyDescent="0.25">
      <c r="G895" s="21"/>
      <c r="H895" s="21"/>
    </row>
    <row r="896" spans="7:8" ht="15.75" customHeight="1" x14ac:dyDescent="0.25">
      <c r="G896" s="21"/>
      <c r="H896" s="21"/>
    </row>
    <row r="897" spans="7:8" ht="15.75" customHeight="1" x14ac:dyDescent="0.25">
      <c r="G897" s="21"/>
      <c r="H897" s="21"/>
    </row>
    <row r="898" spans="7:8" ht="15.75" customHeight="1" x14ac:dyDescent="0.25">
      <c r="G898" s="21"/>
      <c r="H898" s="21"/>
    </row>
    <row r="899" spans="7:8" ht="15.75" customHeight="1" x14ac:dyDescent="0.25">
      <c r="G899" s="21"/>
      <c r="H899" s="21"/>
    </row>
    <row r="900" spans="7:8" ht="15.75" customHeight="1" x14ac:dyDescent="0.25">
      <c r="G900" s="21"/>
      <c r="H900" s="21"/>
    </row>
    <row r="901" spans="7:8" ht="15.75" customHeight="1" x14ac:dyDescent="0.25">
      <c r="G901" s="21"/>
      <c r="H901" s="21"/>
    </row>
    <row r="902" spans="7:8" ht="15.75" customHeight="1" x14ac:dyDescent="0.25">
      <c r="G902" s="21"/>
      <c r="H902" s="21"/>
    </row>
    <row r="903" spans="7:8" ht="15.75" customHeight="1" x14ac:dyDescent="0.25">
      <c r="G903" s="21"/>
      <c r="H903" s="21"/>
    </row>
    <row r="904" spans="7:8" ht="15.75" customHeight="1" x14ac:dyDescent="0.25">
      <c r="G904" s="21"/>
      <c r="H904" s="21"/>
    </row>
    <row r="905" spans="7:8" ht="15.75" customHeight="1" x14ac:dyDescent="0.25">
      <c r="G905" s="21"/>
      <c r="H905" s="21"/>
    </row>
    <row r="906" spans="7:8" ht="15.75" customHeight="1" x14ac:dyDescent="0.25">
      <c r="G906" s="21"/>
      <c r="H906" s="21"/>
    </row>
    <row r="907" spans="7:8" ht="15.75" customHeight="1" x14ac:dyDescent="0.25">
      <c r="G907" s="21"/>
      <c r="H907" s="21"/>
    </row>
    <row r="908" spans="7:8" ht="15.75" customHeight="1" x14ac:dyDescent="0.25">
      <c r="G908" s="21"/>
      <c r="H908" s="21"/>
    </row>
    <row r="909" spans="7:8" ht="15.75" customHeight="1" x14ac:dyDescent="0.25">
      <c r="G909" s="21"/>
      <c r="H909" s="21"/>
    </row>
    <row r="910" spans="7:8" ht="15.75" customHeight="1" x14ac:dyDescent="0.25">
      <c r="G910" s="21"/>
      <c r="H910" s="21"/>
    </row>
    <row r="911" spans="7:8" ht="15.75" customHeight="1" x14ac:dyDescent="0.25">
      <c r="G911" s="21"/>
      <c r="H911" s="21"/>
    </row>
    <row r="912" spans="7:8" ht="15.75" customHeight="1" x14ac:dyDescent="0.25">
      <c r="G912" s="21"/>
      <c r="H912" s="21"/>
    </row>
    <row r="913" spans="7:8" ht="15.75" customHeight="1" x14ac:dyDescent="0.25">
      <c r="G913" s="21"/>
      <c r="H913" s="21"/>
    </row>
    <row r="914" spans="7:8" ht="15.75" customHeight="1" x14ac:dyDescent="0.25">
      <c r="G914" s="21"/>
      <c r="H914" s="21"/>
    </row>
    <row r="915" spans="7:8" ht="15.75" customHeight="1" x14ac:dyDescent="0.25">
      <c r="G915" s="21"/>
      <c r="H915" s="21"/>
    </row>
    <row r="916" spans="7:8" ht="15.75" customHeight="1" x14ac:dyDescent="0.25">
      <c r="G916" s="21"/>
      <c r="H916" s="21"/>
    </row>
    <row r="917" spans="7:8" ht="15.75" customHeight="1" x14ac:dyDescent="0.25">
      <c r="G917" s="21"/>
      <c r="H917" s="21"/>
    </row>
    <row r="918" spans="7:8" ht="15.75" customHeight="1" x14ac:dyDescent="0.25">
      <c r="G918" s="21"/>
      <c r="H918" s="21"/>
    </row>
    <row r="919" spans="7:8" ht="15.75" customHeight="1" x14ac:dyDescent="0.25">
      <c r="G919" s="21"/>
      <c r="H919" s="21"/>
    </row>
    <row r="920" spans="7:8" ht="15.75" customHeight="1" x14ac:dyDescent="0.25">
      <c r="G920" s="21"/>
      <c r="H920" s="21"/>
    </row>
    <row r="921" spans="7:8" ht="15.75" customHeight="1" x14ac:dyDescent="0.25">
      <c r="G921" s="21"/>
      <c r="H921" s="21"/>
    </row>
    <row r="922" spans="7:8" ht="15.75" customHeight="1" x14ac:dyDescent="0.25">
      <c r="G922" s="21"/>
      <c r="H922" s="21"/>
    </row>
    <row r="923" spans="7:8" ht="15.75" customHeight="1" x14ac:dyDescent="0.25">
      <c r="G923" s="21"/>
      <c r="H923" s="21"/>
    </row>
    <row r="924" spans="7:8" ht="15.75" customHeight="1" x14ac:dyDescent="0.25">
      <c r="G924" s="21"/>
      <c r="H924" s="21"/>
    </row>
    <row r="925" spans="7:8" ht="15.75" customHeight="1" x14ac:dyDescent="0.25">
      <c r="G925" s="21"/>
      <c r="H925" s="21"/>
    </row>
    <row r="926" spans="7:8" ht="15.75" customHeight="1" x14ac:dyDescent="0.25">
      <c r="G926" s="21"/>
      <c r="H926" s="21"/>
    </row>
    <row r="927" spans="7:8" ht="15.75" customHeight="1" x14ac:dyDescent="0.25">
      <c r="G927" s="21"/>
      <c r="H927" s="21"/>
    </row>
    <row r="928" spans="7:8" ht="15.75" customHeight="1" x14ac:dyDescent="0.25">
      <c r="G928" s="21"/>
      <c r="H928" s="21"/>
    </row>
    <row r="929" spans="7:8" ht="15.75" customHeight="1" x14ac:dyDescent="0.25">
      <c r="G929" s="21"/>
      <c r="H929" s="21"/>
    </row>
    <row r="930" spans="7:8" ht="15.75" customHeight="1" x14ac:dyDescent="0.25">
      <c r="G930" s="21"/>
      <c r="H930" s="21"/>
    </row>
    <row r="931" spans="7:8" ht="15.75" customHeight="1" x14ac:dyDescent="0.25">
      <c r="G931" s="21"/>
      <c r="H931" s="21"/>
    </row>
    <row r="932" spans="7:8" ht="15.75" customHeight="1" x14ac:dyDescent="0.25">
      <c r="G932" s="21"/>
      <c r="H932" s="21"/>
    </row>
    <row r="933" spans="7:8" ht="15.75" customHeight="1" x14ac:dyDescent="0.25">
      <c r="G933" s="21"/>
      <c r="H933" s="21"/>
    </row>
    <row r="934" spans="7:8" ht="15.75" customHeight="1" x14ac:dyDescent="0.25">
      <c r="G934" s="21"/>
      <c r="H934" s="21"/>
    </row>
    <row r="935" spans="7:8" ht="15.75" customHeight="1" x14ac:dyDescent="0.25">
      <c r="G935" s="21"/>
      <c r="H935" s="21"/>
    </row>
    <row r="936" spans="7:8" ht="15.75" customHeight="1" x14ac:dyDescent="0.25">
      <c r="G936" s="21"/>
      <c r="H936" s="21"/>
    </row>
    <row r="937" spans="7:8" ht="15.75" customHeight="1" x14ac:dyDescent="0.25">
      <c r="G937" s="21"/>
      <c r="H937" s="21"/>
    </row>
    <row r="938" spans="7:8" ht="15.75" customHeight="1" x14ac:dyDescent="0.25">
      <c r="G938" s="21"/>
      <c r="H938" s="21"/>
    </row>
    <row r="939" spans="7:8" ht="15.75" customHeight="1" x14ac:dyDescent="0.25">
      <c r="G939" s="21"/>
      <c r="H939" s="21"/>
    </row>
    <row r="940" spans="7:8" ht="15.75" customHeight="1" x14ac:dyDescent="0.25">
      <c r="G940" s="21"/>
      <c r="H940" s="21"/>
    </row>
    <row r="941" spans="7:8" ht="15.75" customHeight="1" x14ac:dyDescent="0.25">
      <c r="G941" s="21"/>
      <c r="H941" s="21"/>
    </row>
    <row r="942" spans="7:8" ht="15.75" customHeight="1" x14ac:dyDescent="0.25">
      <c r="G942" s="21"/>
      <c r="H942" s="21"/>
    </row>
    <row r="943" spans="7:8" ht="15.75" customHeight="1" x14ac:dyDescent="0.25">
      <c r="G943" s="21"/>
      <c r="H943" s="21"/>
    </row>
    <row r="944" spans="7:8" ht="15.75" customHeight="1" x14ac:dyDescent="0.25">
      <c r="G944" s="21"/>
      <c r="H944" s="21"/>
    </row>
    <row r="945" spans="7:8" ht="15.75" customHeight="1" x14ac:dyDescent="0.25">
      <c r="G945" s="21"/>
      <c r="H945" s="21"/>
    </row>
    <row r="946" spans="7:8" ht="15.75" customHeight="1" x14ac:dyDescent="0.25">
      <c r="G946" s="21"/>
      <c r="H946" s="21"/>
    </row>
    <row r="947" spans="7:8" ht="15.75" customHeight="1" x14ac:dyDescent="0.25">
      <c r="G947" s="21"/>
      <c r="H947" s="21"/>
    </row>
    <row r="948" spans="7:8" ht="15.75" customHeight="1" x14ac:dyDescent="0.25">
      <c r="G948" s="21"/>
      <c r="H948" s="21"/>
    </row>
    <row r="949" spans="7:8" ht="15.75" customHeight="1" x14ac:dyDescent="0.25">
      <c r="G949" s="21"/>
      <c r="H949" s="21"/>
    </row>
    <row r="950" spans="7:8" ht="15.75" customHeight="1" x14ac:dyDescent="0.25">
      <c r="G950" s="21"/>
      <c r="H950" s="21"/>
    </row>
    <row r="951" spans="7:8" ht="15.75" customHeight="1" x14ac:dyDescent="0.25">
      <c r="G951" s="21"/>
      <c r="H951" s="21"/>
    </row>
    <row r="952" spans="7:8" ht="15.75" customHeight="1" x14ac:dyDescent="0.25">
      <c r="G952" s="21"/>
      <c r="H952" s="21"/>
    </row>
    <row r="953" spans="7:8" ht="15.75" customHeight="1" x14ac:dyDescent="0.25">
      <c r="G953" s="21"/>
      <c r="H953" s="21"/>
    </row>
    <row r="954" spans="7:8" ht="15.75" customHeight="1" x14ac:dyDescent="0.25">
      <c r="G954" s="21"/>
      <c r="H954" s="21"/>
    </row>
    <row r="955" spans="7:8" ht="15.75" customHeight="1" x14ac:dyDescent="0.25">
      <c r="G955" s="21"/>
      <c r="H955" s="21"/>
    </row>
    <row r="956" spans="7:8" ht="15.75" customHeight="1" x14ac:dyDescent="0.25">
      <c r="G956" s="21"/>
      <c r="H956" s="21"/>
    </row>
    <row r="957" spans="7:8" ht="15.75" customHeight="1" x14ac:dyDescent="0.25">
      <c r="G957" s="21"/>
      <c r="H957" s="21"/>
    </row>
    <row r="958" spans="7:8" ht="15.75" customHeight="1" x14ac:dyDescent="0.25">
      <c r="G958" s="21"/>
      <c r="H958" s="21"/>
    </row>
    <row r="959" spans="7:8" ht="15.75" customHeight="1" x14ac:dyDescent="0.25">
      <c r="G959" s="21"/>
      <c r="H959" s="21"/>
    </row>
    <row r="960" spans="7:8" ht="15.75" customHeight="1" x14ac:dyDescent="0.25">
      <c r="G960" s="21"/>
      <c r="H960" s="21"/>
    </row>
    <row r="961" spans="7:8" ht="15.75" customHeight="1" x14ac:dyDescent="0.25">
      <c r="G961" s="21"/>
      <c r="H961" s="21"/>
    </row>
    <row r="962" spans="7:8" ht="15.75" customHeight="1" x14ac:dyDescent="0.25">
      <c r="G962" s="21"/>
      <c r="H962" s="21"/>
    </row>
    <row r="963" spans="7:8" ht="15.75" customHeight="1" x14ac:dyDescent="0.25">
      <c r="G963" s="21"/>
      <c r="H963" s="21"/>
    </row>
    <row r="964" spans="7:8" ht="15.75" customHeight="1" x14ac:dyDescent="0.25">
      <c r="G964" s="21"/>
      <c r="H964" s="21"/>
    </row>
    <row r="965" spans="7:8" ht="15.75" customHeight="1" x14ac:dyDescent="0.25">
      <c r="G965" s="21"/>
      <c r="H965" s="21"/>
    </row>
    <row r="966" spans="7:8" ht="15.75" customHeight="1" x14ac:dyDescent="0.25">
      <c r="G966" s="21"/>
      <c r="H966" s="21"/>
    </row>
    <row r="967" spans="7:8" ht="15.75" customHeight="1" x14ac:dyDescent="0.25">
      <c r="G967" s="21"/>
      <c r="H967" s="21"/>
    </row>
    <row r="968" spans="7:8" ht="15.75" customHeight="1" x14ac:dyDescent="0.25">
      <c r="G968" s="21"/>
      <c r="H968" s="21"/>
    </row>
    <row r="969" spans="7:8" ht="15.75" customHeight="1" x14ac:dyDescent="0.25">
      <c r="G969" s="21"/>
      <c r="H969" s="21"/>
    </row>
  </sheetData>
  <dataValidations count="4">
    <dataValidation type="list" allowBlank="1" sqref="B2:B25" xr:uid="{00000000-0002-0000-0000-000000000000}">
      <formula1>"Thứ Hai,Thứ Ba,Thứ Tư,Thứ Năm,Thứ Sáu,Thứ Bảy"</formula1>
    </dataValidation>
    <dataValidation type="list" allowBlank="1" sqref="L2:L48" xr:uid="{00000000-0002-0000-0000-000001000000}">
      <formula1>"Phòng Hành chính khoa,Hội trường 8A,Phòng họp 1A,Phòng họp TGĐ,Phòng họp Chủ tịch"</formula1>
    </dataValidation>
    <dataValidation type="list" allowBlank="1" showErrorMessage="1" sqref="K2:K24 J25:K25" xr:uid="{00000000-0002-0000-0000-000002000000}">
      <formula1>"Bác sỹ,Điều Dưỡng,Kỹ thuật Y"</formula1>
    </dataValidation>
    <dataValidation type="list" allowBlank="1" showErrorMessage="1" sqref="G2:G25" xr:uid="{00000000-0002-0000-00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17" r:id="rId1" xr:uid="{00000000-0004-0000-0000-000000000000}"/>
    <hyperlink ref="W17" r:id="rId2" xr:uid="{00000000-0004-0000-0000-000001000000}"/>
    <hyperlink ref="X17" r:id="rId3" xr:uid="{00000000-0004-0000-0000-000002000000}"/>
    <hyperlink ref="V18" r:id="rId4" xr:uid="{00000000-0004-0000-0000-000003000000}"/>
    <hyperlink ref="W18" r:id="rId5" xr:uid="{00000000-0004-0000-0000-000004000000}"/>
    <hyperlink ref="X18" r:id="rId6" xr:uid="{00000000-0004-0000-0000-000005000000}"/>
  </hyperlinks>
  <pageMargins left="0.7" right="0.7" top="0.75" bottom="0.75" header="0" footer="0"/>
  <pageSetup orientation="landscape"/>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4"/>
  <sheetViews>
    <sheetView workbookViewId="0"/>
  </sheetViews>
  <sheetFormatPr defaultColWidth="14.42578125" defaultRowHeight="15" customHeight="1" x14ac:dyDescent="0.25"/>
  <cols>
    <col min="1" max="1" width="5.140625" customWidth="1"/>
    <col min="2" max="2" width="15.5703125" customWidth="1"/>
    <col min="3" max="3" width="26" customWidth="1"/>
    <col min="4" max="4" width="42.85546875" customWidth="1"/>
    <col min="5" max="5" width="47.5703125" customWidth="1"/>
    <col min="6" max="6" width="25.28515625" customWidth="1"/>
    <col min="7" max="7" width="29.42578125" customWidth="1"/>
  </cols>
  <sheetData>
    <row r="1" spans="1:7" x14ac:dyDescent="0.25">
      <c r="A1" s="22" t="s">
        <v>0</v>
      </c>
      <c r="B1" s="22" t="s">
        <v>136</v>
      </c>
      <c r="C1" s="22" t="s">
        <v>137</v>
      </c>
      <c r="D1" s="23" t="s">
        <v>138</v>
      </c>
      <c r="E1" s="23" t="s">
        <v>139</v>
      </c>
      <c r="F1" s="23" t="s">
        <v>140</v>
      </c>
      <c r="G1" s="23" t="s">
        <v>141</v>
      </c>
    </row>
    <row r="2" spans="1:7" x14ac:dyDescent="0.25">
      <c r="A2" s="24">
        <v>1</v>
      </c>
      <c r="B2" s="25" t="s">
        <v>142</v>
      </c>
      <c r="C2" s="25" t="s">
        <v>143</v>
      </c>
      <c r="D2" s="26" t="s">
        <v>144</v>
      </c>
      <c r="E2" s="27"/>
      <c r="F2" s="27"/>
      <c r="G2" s="27"/>
    </row>
    <row r="3" spans="1:7" x14ac:dyDescent="0.25">
      <c r="A3" s="24">
        <v>2</v>
      </c>
      <c r="B3" s="25" t="s">
        <v>142</v>
      </c>
      <c r="C3" s="25" t="s">
        <v>145</v>
      </c>
      <c r="D3" s="26" t="s">
        <v>146</v>
      </c>
      <c r="E3" s="26" t="s">
        <v>147</v>
      </c>
      <c r="F3" s="26" t="s">
        <v>148</v>
      </c>
      <c r="G3" s="26"/>
    </row>
    <row r="4" spans="1:7" x14ac:dyDescent="0.25">
      <c r="A4" s="24">
        <v>4</v>
      </c>
      <c r="B4" s="25" t="s">
        <v>142</v>
      </c>
      <c r="C4" s="25" t="s">
        <v>149</v>
      </c>
      <c r="D4" s="26" t="s">
        <v>150</v>
      </c>
      <c r="E4" s="26" t="s">
        <v>147</v>
      </c>
      <c r="F4" s="27"/>
      <c r="G4" s="27"/>
    </row>
    <row r="5" spans="1:7" x14ac:dyDescent="0.25">
      <c r="A5" s="24">
        <v>6</v>
      </c>
      <c r="B5" s="25" t="s">
        <v>142</v>
      </c>
      <c r="C5" s="25" t="s">
        <v>151</v>
      </c>
      <c r="D5" s="26" t="s">
        <v>152</v>
      </c>
      <c r="E5" s="27"/>
      <c r="F5" s="27"/>
      <c r="G5" s="27"/>
    </row>
    <row r="6" spans="1:7" x14ac:dyDescent="0.25">
      <c r="A6" s="28">
        <v>7</v>
      </c>
      <c r="B6" s="29" t="s">
        <v>153</v>
      </c>
      <c r="C6" s="29" t="s">
        <v>154</v>
      </c>
      <c r="D6" s="30" t="s">
        <v>155</v>
      </c>
      <c r="E6" s="31"/>
      <c r="F6" s="30" t="s">
        <v>156</v>
      </c>
      <c r="G6" s="31"/>
    </row>
    <row r="7" spans="1:7" x14ac:dyDescent="0.25">
      <c r="A7" s="28">
        <v>8</v>
      </c>
      <c r="B7" s="29" t="s">
        <v>153</v>
      </c>
      <c r="C7" s="29" t="s">
        <v>157</v>
      </c>
      <c r="D7" s="30" t="s">
        <v>158</v>
      </c>
      <c r="E7" s="31"/>
      <c r="F7" s="31"/>
      <c r="G7" s="31"/>
    </row>
    <row r="8" spans="1:7" x14ac:dyDescent="0.25">
      <c r="A8" s="28">
        <v>9</v>
      </c>
      <c r="B8" s="29" t="s">
        <v>153</v>
      </c>
      <c r="C8" s="29" t="s">
        <v>159</v>
      </c>
      <c r="D8" s="30" t="s">
        <v>160</v>
      </c>
      <c r="E8" s="30" t="s">
        <v>161</v>
      </c>
      <c r="F8" s="31"/>
      <c r="G8" s="31"/>
    </row>
    <row r="9" spans="1:7" x14ac:dyDescent="0.25">
      <c r="A9" s="28">
        <v>10</v>
      </c>
      <c r="B9" s="29" t="s">
        <v>153</v>
      </c>
      <c r="C9" s="29" t="s">
        <v>162</v>
      </c>
      <c r="D9" s="30" t="s">
        <v>163</v>
      </c>
      <c r="E9" s="31"/>
      <c r="F9" s="30" t="s">
        <v>164</v>
      </c>
      <c r="G9" s="31"/>
    </row>
    <row r="10" spans="1:7" x14ac:dyDescent="0.25">
      <c r="A10" s="28">
        <v>11</v>
      </c>
      <c r="B10" s="29" t="s">
        <v>153</v>
      </c>
      <c r="C10" s="29" t="s">
        <v>165</v>
      </c>
      <c r="D10" s="30" t="s">
        <v>166</v>
      </c>
      <c r="E10" s="31"/>
      <c r="F10" s="31"/>
      <c r="G10" s="31"/>
    </row>
    <row r="11" spans="1:7" x14ac:dyDescent="0.25">
      <c r="A11" s="28">
        <v>12</v>
      </c>
      <c r="B11" s="29" t="s">
        <v>153</v>
      </c>
      <c r="C11" s="29" t="s">
        <v>167</v>
      </c>
      <c r="D11" s="30" t="s">
        <v>168</v>
      </c>
      <c r="E11" s="31"/>
      <c r="F11" s="31"/>
      <c r="G11" s="31"/>
    </row>
    <row r="12" spans="1:7" x14ac:dyDescent="0.25">
      <c r="A12" s="32">
        <v>13</v>
      </c>
      <c r="B12" s="33" t="s">
        <v>169</v>
      </c>
      <c r="C12" s="33" t="s">
        <v>170</v>
      </c>
      <c r="D12" s="34" t="s">
        <v>171</v>
      </c>
      <c r="E12" s="35"/>
      <c r="F12" s="35"/>
      <c r="G12" s="35"/>
    </row>
    <row r="13" spans="1:7" x14ac:dyDescent="0.25">
      <c r="A13" s="32">
        <v>14</v>
      </c>
      <c r="B13" s="33" t="s">
        <v>169</v>
      </c>
      <c r="C13" s="33" t="s">
        <v>172</v>
      </c>
      <c r="D13" s="34" t="s">
        <v>173</v>
      </c>
      <c r="E13" s="35"/>
      <c r="F13" s="35"/>
      <c r="G13" s="35"/>
    </row>
    <row r="14" spans="1:7" x14ac:dyDescent="0.25">
      <c r="A14" s="32">
        <v>15</v>
      </c>
      <c r="B14" s="33" t="s">
        <v>169</v>
      </c>
      <c r="C14" s="33" t="s">
        <v>174</v>
      </c>
      <c r="D14" s="34" t="s">
        <v>175</v>
      </c>
      <c r="E14" s="35"/>
      <c r="F14" s="35"/>
      <c r="G14" s="35"/>
    </row>
    <row r="15" spans="1:7" x14ac:dyDescent="0.25">
      <c r="A15" s="36">
        <v>16</v>
      </c>
      <c r="B15" s="37" t="s">
        <v>176</v>
      </c>
      <c r="C15" s="37" t="s">
        <v>177</v>
      </c>
      <c r="D15" s="38" t="s">
        <v>178</v>
      </c>
      <c r="E15" s="39"/>
      <c r="F15" s="39"/>
      <c r="G15" s="39"/>
    </row>
    <row r="16" spans="1:7" x14ac:dyDescent="0.25">
      <c r="A16" s="36">
        <v>17</v>
      </c>
      <c r="B16" s="37" t="s">
        <v>176</v>
      </c>
      <c r="C16" s="37" t="s">
        <v>179</v>
      </c>
      <c r="D16" s="38" t="s">
        <v>180</v>
      </c>
      <c r="E16" s="39"/>
      <c r="F16" s="39"/>
      <c r="G16" s="39"/>
    </row>
    <row r="17" spans="1:7" x14ac:dyDescent="0.25">
      <c r="A17" s="36">
        <v>18</v>
      </c>
      <c r="B17" s="37" t="s">
        <v>176</v>
      </c>
      <c r="C17" s="37" t="s">
        <v>181</v>
      </c>
      <c r="D17" s="38" t="s">
        <v>182</v>
      </c>
      <c r="E17" s="39"/>
      <c r="F17" s="39"/>
      <c r="G17" s="39"/>
    </row>
    <row r="18" spans="1:7" x14ac:dyDescent="0.25">
      <c r="A18" s="36">
        <v>19</v>
      </c>
      <c r="B18" s="37" t="s">
        <v>176</v>
      </c>
      <c r="C18" s="37" t="s">
        <v>183</v>
      </c>
      <c r="D18" s="38" t="s">
        <v>184</v>
      </c>
      <c r="E18" s="39"/>
      <c r="F18" s="39"/>
      <c r="G18" s="39"/>
    </row>
    <row r="19" spans="1:7" x14ac:dyDescent="0.25">
      <c r="A19" s="36">
        <v>20</v>
      </c>
      <c r="B19" s="37" t="s">
        <v>176</v>
      </c>
      <c r="C19" s="37" t="s">
        <v>185</v>
      </c>
      <c r="D19" s="38" t="s">
        <v>186</v>
      </c>
      <c r="E19" s="39"/>
      <c r="F19" s="39"/>
      <c r="G19" s="39"/>
    </row>
    <row r="20" spans="1:7" x14ac:dyDescent="0.25">
      <c r="A20" s="40">
        <v>21</v>
      </c>
      <c r="B20" s="41" t="s">
        <v>187</v>
      </c>
      <c r="C20" s="41" t="s">
        <v>188</v>
      </c>
      <c r="D20" s="42" t="s">
        <v>189</v>
      </c>
      <c r="E20" s="43"/>
      <c r="F20" s="43"/>
      <c r="G20" s="43"/>
    </row>
    <row r="21" spans="1:7" x14ac:dyDescent="0.25">
      <c r="A21" s="40">
        <v>22</v>
      </c>
      <c r="B21" s="41" t="s">
        <v>187</v>
      </c>
      <c r="C21" s="41" t="s">
        <v>190</v>
      </c>
      <c r="D21" s="42" t="s">
        <v>191</v>
      </c>
      <c r="E21" s="43"/>
      <c r="F21" s="43"/>
      <c r="G21" s="43"/>
    </row>
    <row r="22" spans="1:7" x14ac:dyDescent="0.25">
      <c r="A22" s="40">
        <v>23</v>
      </c>
      <c r="B22" s="41" t="s">
        <v>187</v>
      </c>
      <c r="C22" s="41" t="s">
        <v>192</v>
      </c>
      <c r="D22" s="42" t="s">
        <v>193</v>
      </c>
      <c r="E22" s="43"/>
      <c r="F22" s="43"/>
      <c r="G22" s="43"/>
    </row>
    <row r="23" spans="1:7" x14ac:dyDescent="0.25">
      <c r="A23" s="40">
        <v>24</v>
      </c>
      <c r="B23" s="41" t="s">
        <v>187</v>
      </c>
      <c r="C23" s="41" t="s">
        <v>194</v>
      </c>
      <c r="D23" s="42" t="s">
        <v>195</v>
      </c>
      <c r="E23" s="43"/>
      <c r="F23" s="43"/>
      <c r="G23" s="43"/>
    </row>
    <row r="24" spans="1:7" x14ac:dyDescent="0.25">
      <c r="A24" s="40">
        <v>25</v>
      </c>
      <c r="B24" s="41" t="s">
        <v>187</v>
      </c>
      <c r="C24" s="41" t="s">
        <v>196</v>
      </c>
      <c r="D24" s="42" t="s">
        <v>197</v>
      </c>
      <c r="E24" s="43"/>
      <c r="F24" s="43"/>
      <c r="G24"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Kế hoạch</vt:lpstr>
      <vt:lpstr>Quy trình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2026-05-21T08:08:04Z</dcterms:modified>
</cp:coreProperties>
</file>