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9" documentId="11_EC506530ADB6399BEFA3465FC3FB5C256FA04038" xr6:coauthVersionLast="47" xr6:coauthVersionMax="47" xr10:uidLastSave="{C5E9ACAB-2FDE-3449-8471-F80B5B8C1EAC}"/>
  <bookViews>
    <workbookView xWindow="0" yWindow="660" windowWidth="22920" windowHeight="13760" activeTab="1" xr2:uid="{00000000-000D-0000-FFFF-FFFF00000000}"/>
  </bookViews>
  <sheets>
    <sheet name="Quy trình" sheetId="1" r:id="rId1"/>
    <sheet name="Kế hoạch" sheetId="2" r:id="rId2"/>
  </sheets>
  <definedNames>
    <definedName name="_xlnm._FilterDatabase" localSheetId="1" hidden="1">'Kế hoạch'!$A$1:$AA$65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5" i="2" l="1"/>
  <c r="T65" i="2"/>
  <c r="S65" i="2"/>
  <c r="R65" i="2"/>
  <c r="Y64" i="2"/>
  <c r="T64" i="2"/>
  <c r="S64" i="2"/>
  <c r="R64" i="2"/>
  <c r="Y63" i="2"/>
  <c r="T63" i="2"/>
  <c r="S63" i="2"/>
  <c r="R63" i="2"/>
  <c r="Y62" i="2"/>
  <c r="T62" i="2"/>
  <c r="S62" i="2"/>
  <c r="R62" i="2"/>
  <c r="Y61" i="2"/>
  <c r="T61" i="2"/>
  <c r="S61" i="2"/>
  <c r="R61" i="2"/>
  <c r="Y60" i="2"/>
  <c r="T60" i="2"/>
  <c r="S60" i="2"/>
  <c r="R60" i="2"/>
  <c r="Y59" i="2"/>
  <c r="T59" i="2"/>
  <c r="S59" i="2"/>
  <c r="R59" i="2"/>
  <c r="Y58" i="2"/>
  <c r="T58" i="2"/>
  <c r="S58" i="2"/>
  <c r="R58" i="2"/>
  <c r="Y57" i="2"/>
  <c r="T57" i="2"/>
  <c r="S57" i="2"/>
  <c r="R57" i="2"/>
  <c r="Y56" i="2"/>
  <c r="T56" i="2"/>
  <c r="S56" i="2"/>
  <c r="R56" i="2"/>
  <c r="Y55" i="2"/>
  <c r="T55" i="2"/>
  <c r="S55" i="2"/>
  <c r="R55" i="2"/>
  <c r="Y54" i="2"/>
  <c r="T54" i="2"/>
  <c r="S54" i="2"/>
  <c r="R54" i="2"/>
  <c r="Y53" i="2"/>
  <c r="T53" i="2"/>
  <c r="S53" i="2"/>
  <c r="R53" i="2"/>
  <c r="Y52" i="2"/>
  <c r="T52" i="2"/>
  <c r="S52" i="2"/>
  <c r="R52" i="2"/>
  <c r="Y51" i="2"/>
  <c r="T51" i="2"/>
  <c r="S51" i="2"/>
  <c r="R51" i="2"/>
  <c r="Y50" i="2"/>
  <c r="T50" i="2"/>
  <c r="S50" i="2"/>
  <c r="R50" i="2"/>
  <c r="Y49" i="2"/>
  <c r="T49" i="2"/>
  <c r="S49" i="2"/>
  <c r="R49" i="2"/>
  <c r="Y48" i="2"/>
  <c r="T48" i="2"/>
  <c r="S48" i="2"/>
  <c r="R48" i="2"/>
  <c r="Y47" i="2"/>
  <c r="T47" i="2"/>
  <c r="S47" i="2"/>
  <c r="R47" i="2"/>
  <c r="Y46" i="2"/>
  <c r="T46" i="2"/>
  <c r="S46" i="2"/>
  <c r="R46" i="2"/>
  <c r="Y45" i="2"/>
  <c r="T45" i="2"/>
  <c r="S45" i="2"/>
  <c r="R45" i="2"/>
  <c r="Y44" i="2"/>
  <c r="T44" i="2"/>
  <c r="S44" i="2"/>
  <c r="R44" i="2"/>
  <c r="Y43" i="2"/>
  <c r="T43" i="2"/>
  <c r="S43" i="2"/>
  <c r="R43" i="2"/>
  <c r="Y42" i="2"/>
  <c r="T42" i="2"/>
  <c r="S42" i="2"/>
  <c r="R42" i="2"/>
  <c r="Y41" i="2"/>
  <c r="T41" i="2"/>
  <c r="S41" i="2"/>
  <c r="R41" i="2"/>
  <c r="Y40" i="2"/>
  <c r="T40" i="2"/>
  <c r="S40" i="2"/>
  <c r="R40" i="2"/>
  <c r="Y39" i="2"/>
  <c r="T39" i="2"/>
  <c r="S39" i="2"/>
  <c r="R39" i="2"/>
  <c r="Y38" i="2"/>
  <c r="T38" i="2"/>
  <c r="S38" i="2"/>
  <c r="R38" i="2"/>
  <c r="Y37" i="2"/>
  <c r="T37" i="2"/>
  <c r="S37" i="2"/>
  <c r="R37" i="2"/>
  <c r="Y36" i="2"/>
  <c r="T36" i="2"/>
  <c r="S36" i="2"/>
  <c r="R36" i="2"/>
  <c r="Y35" i="2"/>
  <c r="T35" i="2"/>
  <c r="S35" i="2"/>
  <c r="R35" i="2"/>
  <c r="Y34" i="2"/>
  <c r="T34" i="2"/>
  <c r="S34" i="2"/>
  <c r="R34" i="2"/>
  <c r="Y33" i="2"/>
  <c r="T33" i="2"/>
  <c r="S33" i="2"/>
  <c r="R33" i="2"/>
  <c r="Y32" i="2"/>
  <c r="T32" i="2"/>
  <c r="S32" i="2"/>
  <c r="R32" i="2"/>
  <c r="Y31" i="2"/>
  <c r="T31" i="2"/>
  <c r="S31" i="2"/>
  <c r="R31" i="2"/>
  <c r="Y30" i="2"/>
  <c r="T30" i="2"/>
  <c r="S30" i="2"/>
  <c r="R30" i="2"/>
  <c r="T29" i="2"/>
  <c r="S29" i="2"/>
  <c r="R29" i="2"/>
  <c r="Y28" i="2"/>
  <c r="T28" i="2"/>
  <c r="S28" i="2"/>
  <c r="R28" i="2"/>
  <c r="T27" i="2"/>
  <c r="S27" i="2"/>
  <c r="R27" i="2"/>
  <c r="T26" i="2"/>
  <c r="S26" i="2"/>
  <c r="R26" i="2"/>
  <c r="Y25" i="2"/>
  <c r="T25" i="2"/>
  <c r="S25" i="2"/>
  <c r="R25" i="2"/>
  <c r="Y24" i="2"/>
  <c r="T24" i="2"/>
  <c r="S24" i="2"/>
  <c r="R24" i="2"/>
  <c r="Y23" i="2"/>
  <c r="T23" i="2"/>
  <c r="S23" i="2"/>
  <c r="R23" i="2"/>
  <c r="Y22" i="2"/>
  <c r="T22" i="2"/>
  <c r="S22" i="2"/>
  <c r="R22" i="2"/>
  <c r="Y21" i="2"/>
  <c r="T21" i="2"/>
  <c r="S21" i="2"/>
  <c r="R21" i="2"/>
  <c r="Y20" i="2"/>
  <c r="T20" i="2"/>
  <c r="S20" i="2"/>
  <c r="R20" i="2"/>
  <c r="Y19" i="2"/>
  <c r="T19" i="2"/>
  <c r="S19" i="2"/>
  <c r="R19" i="2"/>
  <c r="Y18" i="2"/>
  <c r="T18" i="2"/>
  <c r="S18" i="2"/>
  <c r="R18" i="2"/>
  <c r="Y17" i="2"/>
  <c r="T17" i="2"/>
  <c r="S17" i="2"/>
  <c r="R17" i="2"/>
  <c r="Y16" i="2"/>
  <c r="T16" i="2"/>
  <c r="S16" i="2"/>
  <c r="R16" i="2"/>
  <c r="Y15" i="2"/>
  <c r="T15" i="2"/>
  <c r="S15" i="2"/>
  <c r="R15" i="2"/>
  <c r="Y14" i="2"/>
  <c r="T14" i="2"/>
  <c r="S14" i="2"/>
  <c r="R14" i="2"/>
  <c r="Y13" i="2"/>
  <c r="T13" i="2"/>
  <c r="S13" i="2"/>
  <c r="R13" i="2"/>
  <c r="Y12" i="2"/>
  <c r="T12" i="2"/>
  <c r="S12" i="2"/>
  <c r="R12" i="2"/>
  <c r="Y11" i="2"/>
  <c r="T11" i="2"/>
  <c r="S11" i="2"/>
  <c r="R11" i="2"/>
  <c r="Y10" i="2"/>
  <c r="T10" i="2"/>
  <c r="S10" i="2"/>
  <c r="R10" i="2"/>
  <c r="Y9" i="2"/>
  <c r="T9" i="2"/>
  <c r="S9" i="2"/>
  <c r="R9" i="2"/>
  <c r="Y8" i="2"/>
  <c r="T8" i="2"/>
  <c r="S8" i="2"/>
  <c r="R8" i="2"/>
  <c r="Y7" i="2"/>
  <c r="T7" i="2"/>
  <c r="S7" i="2"/>
  <c r="R7" i="2"/>
  <c r="Y6" i="2"/>
  <c r="T6" i="2"/>
  <c r="S6" i="2"/>
  <c r="R6" i="2"/>
  <c r="Y5" i="2"/>
  <c r="T5" i="2"/>
  <c r="S5" i="2"/>
  <c r="R5" i="2"/>
  <c r="Y4" i="2"/>
  <c r="T4" i="2"/>
  <c r="S4" i="2"/>
  <c r="R4" i="2"/>
  <c r="Y3" i="2"/>
  <c r="T3" i="2"/>
  <c r="S3" i="2"/>
  <c r="R3" i="2"/>
  <c r="Y2" i="2"/>
  <c r="T2" i="2"/>
  <c r="S2" i="2"/>
  <c r="R2" i="2"/>
</calcChain>
</file>

<file path=xl/sharedStrings.xml><?xml version="1.0" encoding="utf-8"?>
<sst xmlns="http://schemas.openxmlformats.org/spreadsheetml/2006/main" count="623" uniqueCount="236">
  <si>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</si>
  <si>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</si>
  <si>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</si>
  <si>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</si>
  <si>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</si>
  <si>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</si>
  <si>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</si>
  <si>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</si>
  <si>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</si>
  <si>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</si>
  <si>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</si>
  <si>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</si>
  <si>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</si>
  <si>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</si>
  <si>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</si>
  <si>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</si>
  <si>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</si>
  <si>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</si>
  <si>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</si>
  <si>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</si>
  <si>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</si>
  <si>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</si>
  <si>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</si>
  <si>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</si>
  <si>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</si>
  <si>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</si>
  <si>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</si>
  <si>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</si>
  <si>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</si>
  <si>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</si>
  <si>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</si>
  <si>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</si>
  <si>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</si>
  <si>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</si>
  <si>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</si>
  <si>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</si>
  <si>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</si>
  <si>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</si>
  <si>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</si>
  <si>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</si>
  <si>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</si>
  <si>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</si>
  <si>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</si>
  <si>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</si>
  <si>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</si>
  <si>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</si>
  <si>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</si>
  <si>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</si>
  <si>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</si>
  <si>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</si>
  <si>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</si>
  <si>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</si>
  <si>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</si>
  <si>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</si>
  <si>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</si>
  <si>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</si>
  <si>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</si>
  <si>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</si>
  <si>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</si>
  <si>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</si>
  <si>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</si>
  <si>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</si>
  <si>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</si>
  <si>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</si>
  <si>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</si>
  <si>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</si>
  <si>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Năm</t>
  </si>
  <si>
    <t>NỘI DUNG/CHƯƠNG TRÌNH</t>
  </si>
  <si>
    <t>BÁO CÁO VIÊN</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</si>
  <si>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</si>
  <si>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</si>
  <si>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</si>
  <si>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</si>
  <si>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</si>
  <si>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</si>
  <si>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</si>
  <si>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</si>
  <si>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</si>
  <si>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</si>
  <si>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</si>
  <si>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</si>
  <si>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</si>
  <si>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</si>
  <si>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</si>
  <si>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Lý do hoãn/hủy/ghi chú</t>
  </si>
  <si>
    <t>Thứ Hai</t>
  </si>
  <si>
    <t>Trung tâm Ung bướu</t>
  </si>
  <si>
    <t>Quy định nhân diện người bệnh, Mô hình bàn giao người bệnh ISBARR</t>
  </si>
  <si>
    <t>Nguyễn Thị Hiệp</t>
  </si>
  <si>
    <t>Điều dưỡng, kỹ thuật Y</t>
  </si>
  <si>
    <t>Phòng Hành chính khoa</t>
  </si>
  <si>
    <t>Mai Viết Định</t>
  </si>
  <si>
    <t>0987697222</t>
  </si>
  <si>
    <t>Thứ Ba</t>
  </si>
  <si>
    <t xml:space="preserve">Mô hình bàn giao người bệnh ISBARR </t>
  </si>
  <si>
    <t>CN. Nguyễn Minh Ngọc</t>
  </si>
  <si>
    <t>Bác sĩ, điều dưỡng</t>
  </si>
  <si>
    <t>Đào Mạnh Phương</t>
  </si>
  <si>
    <t>0968791693</t>
  </si>
  <si>
    <t>Thứ Năm</t>
  </si>
  <si>
    <t>Các nguyên lý trong sàng lọc ung thư</t>
  </si>
  <si>
    <t>BSNT. Đào Mạnh Phương</t>
  </si>
  <si>
    <t>Quy trình kỹ thuật tiêm dược chất phóng xạ bằng kim luồn/kim bướm</t>
  </si>
  <si>
    <t>Trần Thị Diệu Huế</t>
  </si>
  <si>
    <t>Mô hình giao tiếp AIDET</t>
  </si>
  <si>
    <t>Điều dưỡng</t>
  </si>
  <si>
    <t>Các chương trình sàng lọc ung thư quốc gia của Việt Nam hiện nay</t>
  </si>
  <si>
    <t>Các bước chuẩn bị người bệnh và thực hiện quy trình chụp PET/CT</t>
  </si>
  <si>
    <t>Nguyễn Thị Trà My</t>
  </si>
  <si>
    <t>Điều dưỡng, kỹ thuật Y, Bác sỹ</t>
  </si>
  <si>
    <t>Bình bệnh án</t>
  </si>
  <si>
    <t>Nguyên lý giảm đau bằng can thiệp dưới hướng dẫn siêu âm ở người bệnh ung thư</t>
  </si>
  <si>
    <t>Ths.BS. Lương Đình Bính</t>
  </si>
  <si>
    <t>Các chiến lược sàng lọc ung thư dạ dày trên thế giới</t>
  </si>
  <si>
    <t>Chăm sóc người bệnh trước và sau chụp PET/CT</t>
  </si>
  <si>
    <t>Lê Thị Thùy</t>
  </si>
  <si>
    <t>Chăm sóc da cho bệnh nhân xạ trị</t>
  </si>
  <si>
    <t xml:space="preserve">BSNT. Đàm Thị Liên </t>
  </si>
  <si>
    <t xml:space="preserve">Bác sĩ, điều dưỡng </t>
  </si>
  <si>
    <t>Chăm sóc người bệnh bệnh lý tuyến giáp điều trị I-131</t>
  </si>
  <si>
    <t>Bàn Thị Điệp</t>
  </si>
  <si>
    <t>Cập nhật một số tiến bộ trong chẩn đoán ung thư dạ dày</t>
  </si>
  <si>
    <t>Kỹ thuật chụp PET/CT hai thì với 18F-FDG trong đánh giá u phổi tân sinh: Quy trình tối ưu và giá trị lâm sàng</t>
  </si>
  <si>
    <t>Hà Ngọc Hải</t>
  </si>
  <si>
    <t>Chăm sóc người bệnh sau phẫu thuật điều trị ung thư tuyến giáp</t>
  </si>
  <si>
    <t>Ths.Bs. Trần Trung Kiên</t>
  </si>
  <si>
    <t>https://docs.google.com/forms/d/1D3yfFbieLg1Qe8knI5eK4MP2rRU-juMjbjWyI5nZFRs/edit</t>
  </si>
  <si>
    <t xml:space="preserve"> </t>
  </si>
  <si>
    <t xml:space="preserve">  </t>
  </si>
  <si>
    <t>Ảnh hưởng của nồng độ Glucose máu đến chất lượng hình ảnh và chỉ số SUVmax trong chụp PET/CT</t>
  </si>
  <si>
    <t>Theo dõi người bệnh sau phẫu thuật điều trị ung thư vú</t>
  </si>
  <si>
    <t>https://docs.google.com/forms/d/1SqdmLCRbz1XBtlwcSqic9XRUN0Xd7Yp72AbyqtZhmi4/edit</t>
  </si>
  <si>
    <t>Ứng dụng AI trong chẩn đoán ung thư vú - Hướng đi nào trong PET/CT</t>
  </si>
  <si>
    <t xml:space="preserve">Triệu chứng gợi ý ung thư vùng đầu cổ </t>
  </si>
  <si>
    <t xml:space="preserve">ThS.BSNT Đàm Thị Liên </t>
  </si>
  <si>
    <t>Trùng với chương trình SHKH khác của trung tâm. Hoãn lịch sang 15/06</t>
  </si>
  <si>
    <t>Tổng Hợp 18-FDG và kiểm soát chất lượng</t>
  </si>
  <si>
    <t>Phạm Văn Khang</t>
  </si>
  <si>
    <t>Hướng dẫn tập vận động sau phẫu thuật ung thư vú</t>
  </si>
  <si>
    <t>https://docs.google.com/forms/d/1IkyzU1RSItwKrFm-lgc_ZwwM8ngWiexPuaJS3WDx3WU/edit</t>
  </si>
  <si>
    <t>Thuốc phóng xạ Samarium Sm 153 lexidronam</t>
  </si>
  <si>
    <t>Đổi sang bài báo cáo của Y tế toàn diện ngày 08/5</t>
  </si>
  <si>
    <t>Chăm sóc và theo dõi người bệnh sau sinh thiết u gan</t>
  </si>
  <si>
    <t>968791693</t>
  </si>
  <si>
    <t>https://docs.google.com/spreadsheets/d/1SVCE_Z3ZvR0R4r4m0hQ_NbG5G617l_BzcsJefBu15jE/edit?resourcekey=&amp;gid=68742959#gid=68742959             https://docs.google.com/forms/d/1SEaPhQb6JM5uSql38M77QSrpkqNGmMkTCya1buMOrEo/edit</t>
  </si>
  <si>
    <t>Bảng kiểm đánh giá đào tạo SHCM - TTUB - 14.05.26.docx</t>
  </si>
  <si>
    <t>https://docs.google.com/presentation/d/1MtrFJGgW71ZatkrINkT45ultvxeOKcEy/edit?usp=drive_link&amp;ouid=109187418966570392156&amp;rtpof=true&amp;sd=true</t>
  </si>
  <si>
    <t>Thứ Sáu</t>
  </si>
  <si>
    <t>Điều trị ung thư phổi không tế bào nhỏ đơn trị với atezolizumab - có gì mới?</t>
  </si>
  <si>
    <t>ThS. BSNT. Đào Mạnh Phương</t>
  </si>
  <si>
    <t>Đàm Thị Liên</t>
  </si>
  <si>
    <t>0392689977</t>
  </si>
  <si>
    <t>260515_SHCM_TTUB_PT_Điều trị ung thư phổi không tế bào nhỏ đơn trị với atezolizumab - có gì mới.xlsx</t>
  </si>
  <si>
    <t>TECENTRIQ NSCLC (BS Dao Manh Phuong- Phenikaa).pptx</t>
  </si>
  <si>
    <t>Thực hiện</t>
  </si>
  <si>
    <t>Hiệu quả điều trị của Rituximab trong u lympho không Hodgkin</t>
  </si>
  <si>
    <t>Ths.BSNT. Tống Thị Huyền</t>
  </si>
  <si>
    <t>Danh sách điểm thi post test lượng giá, RITUXIMAB.xlsx</t>
  </si>
  <si>
    <t>https://docs.google.com/presentation/d/1q3MDQeVgdxOh0tIvEk2hVv9cQB9zvyaP/edit?usp=sharing&amp;ouid=111295642787305152707&amp;rtpof=true&amp;sd=true</t>
  </si>
  <si>
    <t>Tối ưu hóa liều tiêm FDG-18 cho kỹ thuật chụp PET/CT toàn thân tại Bệnh viện Đại học Phenikaa</t>
  </si>
  <si>
    <t>Vũ Đình Tuân</t>
  </si>
  <si>
    <t>https://docs.google.com/spreadsheets/d/1L_zv6uUhvSU9tXdeOqfGu7-Av2kT0Cn4umIiHhfEK3M/edit?resourcekey=&amp;gid=599113286#gid=599113286</t>
  </si>
  <si>
    <t>Tài liệu không có tiêu đề</t>
  </si>
  <si>
    <t>https://docs.google.com/presentation/d/1f8Rk6Z4o8xNPO6eRpSffMlElcwSd3893/edit?usp=sharing&amp;ouid=107457168863880537852&amp;rtpof=true&amp;sd=true</t>
  </si>
  <si>
    <t>Thứ tư</t>
  </si>
  <si>
    <t>Tầm soát ung thư vú- Cập nhật từ các khuyến cáo</t>
  </si>
  <si>
    <t>Phòng bộ môn</t>
  </si>
  <si>
    <t>Chuẩn bị người bệnh trước đốt sóng cao tần u tuyến giáp</t>
  </si>
  <si>
    <t>Xây dựng bảng tham chiếu Beta (Q.Clear) gắn với Protocol PET/CT theo thể hình người bệnh</t>
  </si>
  <si>
    <t>Các cấp cứu thường gặp trên bệnh nhân u não</t>
  </si>
  <si>
    <t xml:space="preserve">ThS. BSNT. Đàm Thị Liên </t>
  </si>
  <si>
    <t>Bác sĩ, điều dưỡng, KTV</t>
  </si>
  <si>
    <t>Cập nhật hướng dẫn sàng lọc ung thư đại trực tràng</t>
  </si>
  <si>
    <t>BSNT. Lê Huỳnh Đức</t>
  </si>
  <si>
    <t>Chăm sóc người bệnh ung thư được hóa trị</t>
  </si>
  <si>
    <t>CN. Đồng Thị Giang</t>
  </si>
  <si>
    <t>Điều dưỡng, KTV</t>
  </si>
  <si>
    <t>Chăm sóc người bệnh ung thư được xạ trị</t>
  </si>
  <si>
    <t>Quản lý các độc tính thường gặp trong  hóa trị ung thư đại trực tràng</t>
  </si>
  <si>
    <t>Chăm sóc người bệnh ung thư được phẫu thuật</t>
  </si>
  <si>
    <t>Dự phòng và chăm sóc loét tỳ đè</t>
  </si>
  <si>
    <t>Điều trị đau ở người bệnh ung thư</t>
  </si>
  <si>
    <t>ThS. BS. Lương Đình Bính</t>
  </si>
  <si>
    <t xml:space="preserve">Quy trình kỹ thuật chụp PETCT não bằng 18F-FDG trong chẩn đoán động kinh : kinh nghiệm bước đầu </t>
  </si>
  <si>
    <t>CN. Hà Ngọc Hải</t>
  </si>
  <si>
    <t xml:space="preserve">Hà Ngọc Hải </t>
  </si>
  <si>
    <t>0369154833</t>
  </si>
  <si>
    <t>Sàng lọc ung thư phổi</t>
  </si>
  <si>
    <t>Kỹ thuật cho uống dược chất phóng xạ</t>
  </si>
  <si>
    <t>CN. Vũ Đình Tuân</t>
  </si>
  <si>
    <t>Chẩn đoán ung thư phổi</t>
  </si>
  <si>
    <t>Quy trình kỹ thuật chụp xạ hình tuyến giáp với I-131</t>
  </si>
  <si>
    <t>CN. Dương Văn Thắng</t>
  </si>
  <si>
    <t>Chăm sóc buồng tiêm truyền dưới da</t>
  </si>
  <si>
    <t>ThS.Trần Trung Kiên</t>
  </si>
  <si>
    <t>Quy trình kỹ thuật chụp xạ hình xương với  99mTc-MDP</t>
  </si>
  <si>
    <t>CN. Phạm Hồng Quân</t>
  </si>
  <si>
    <t>Điều trị ung thư và vai trò của dinh dưỡng</t>
  </si>
  <si>
    <t>CN. Khương Thị Trà My</t>
  </si>
  <si>
    <t>Quy trình vệ sinh tay thường quy và phân loại rác</t>
  </si>
  <si>
    <t>CN. Nguyễn Thị Thu Hà</t>
  </si>
  <si>
    <t>Dự phòng và chăm sóc người bệnh nôn và buồn nôn sau truyền hóa chất</t>
  </si>
  <si>
    <t>BSNT. Vy Thị Ngọc Ánh</t>
  </si>
  <si>
    <t>Quy trình kỹ thuật cấp cứu ngừng tuần hoàn</t>
  </si>
  <si>
    <t>CN. Kiều Thị Thu Hiền</t>
  </si>
  <si>
    <t>Chăm sóc hậu môn nhân tạo</t>
  </si>
  <si>
    <t>QTKT chuyển NB từ giường sang ghế hoặc xe lăn và ngược lại</t>
  </si>
  <si>
    <t>CN. Vương Thùy Dung</t>
  </si>
  <si>
    <t>Xử trí thoát mạch do hóa chất</t>
  </si>
  <si>
    <t>BSNT. Tống Thị Huyền</t>
  </si>
  <si>
    <t>QTKT chuyển NB từ giường sang cáng và ngược lại</t>
  </si>
  <si>
    <t>CN. Nguyễn Thị Thu Duyên</t>
  </si>
  <si>
    <t>Nhận biết và xử trí các cấp cứu bụng ngoại khoa</t>
  </si>
  <si>
    <t>BSCKI. Ma Khánh Trường</t>
  </si>
  <si>
    <t>Quy trình kỹ thuật cho NB thở oxy bằng gọng kính/mặt nạ</t>
  </si>
  <si>
    <t>CN. Nguyễn Thị Thắm</t>
  </si>
  <si>
    <t>987697222</t>
  </si>
  <si>
    <t>Tiếp cận và xử trí cấp cứu bệnh nhân khó thở</t>
  </si>
  <si>
    <t>ThS. BSNT. Nguyễn Tiến Đồng</t>
  </si>
  <si>
    <t>Quy trình kỹ thuật chụp xạ hình toàn thân với I-131</t>
  </si>
  <si>
    <t>CN. Bùi Văn Trường</t>
  </si>
  <si>
    <t>Chăm sóc người bệnh ung thư xạ trị</t>
  </si>
  <si>
    <t>ThS. BSNT. Đàm Thị Liên</t>
  </si>
  <si>
    <t>Điều trị I-131 trong ung thư tuyến giáp thể biệt hóa - Cập nhật ATA 2025</t>
  </si>
  <si>
    <t>Ths. BSNT. Nguyễn Văn Tấn</t>
  </si>
  <si>
    <t>Chăm sóc và hút đờm qua lỗ mở khí quản</t>
  </si>
  <si>
    <t>Quy trình vận hành thiết bị PET/CT</t>
  </si>
  <si>
    <t>CN. Nguyễn Thị Trà My</t>
  </si>
  <si>
    <t>Xử trí cấp cứu chảy máu trong ung thư đầu cổ</t>
  </si>
  <si>
    <t>392689977</t>
  </si>
  <si>
    <t>An toàn bức xạ trong khu vực xạ hình với máy SPECT/CT và PET/CT</t>
  </si>
  <si>
    <t>TS. Hoàng Văn Khánh</t>
  </si>
  <si>
    <t>Bác sĩ, điều dưỡng, KTV, KS, DS, Hộ lý</t>
  </si>
  <si>
    <t>Giờ</t>
  </si>
  <si>
    <t>ĐƠN VỊ</t>
  </si>
  <si>
    <t>ĐỐI TƯỢNG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</si>
</sst>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5" x14ac:knownFonts="1">
    <font>
      <sz val="11"/>
      <color theme="1"/>
      <name val="Calibri"/>
      <scheme val="minor"/>
    </font>
    <font>
      <b/>
      <sz val="11"/>
      <color theme="1"/>
      <name val="Times New Roman"/>
      <family val="1"/>
    </font>
    <font>
      <sz val="11"/>
      <color theme="1"/>
      <name val="Times New Roman"/>
      <family val="1"/>
    </font>
    <font>
      <sz val="11"/>
      <color theme="1"/>
      <name val="Calibri"/>
      <family val="2"/>
    </font>
    <font>
      <b/>
      <sz val="14"/>
      <color theme="1"/>
      <name val="Times New Roman"/>
      <family val="1"/>
    </font>
    <font>
      <b/>
      <sz val="13"/>
      <color theme="1"/>
      <name val="Times New Roman"/>
      <family val="1"/>
    </font>
    <font>
      <sz val="11"/>
      <color theme="1"/>
      <name val="Calibri"/>
      <family val="2"/>
      <scheme val="minor"/>
    </font>
    <font>
      <sz val="14"/>
      <color theme="1"/>
      <name val="Times New Roman"/>
      <family val="1"/>
    </font>
    <font>
      <sz val="13"/>
      <color theme="1"/>
      <name val="Times New Roman"/>
      <family val="1"/>
    </font>
    <font>
      <u/>
      <sz val="11"/>
      <color rgb="FF0563C1"/>
      <name val="Calibri"/>
      <family val="2"/>
    </font>
    <font>
      <u/>
      <sz val="11"/>
      <color rgb="FF0000FF"/>
      <name val="Calibri"/>
      <family val="2"/>
    </font>
    <font>
      <u/>
      <sz val="11"/>
      <color rgb="FF0563C1"/>
      <name val="Calibri"/>
      <family val="2"/>
    </font>
    <font>
      <u/>
      <sz val="11"/>
      <color rgb="FF0000FF"/>
      <name val="Calibri"/>
      <family val="2"/>
    </font>
    <font>
      <u/>
      <sz val="13"/>
      <color theme="1"/>
      <name val="Times New Roman"/>
      <family val="1"/>
    </font>
    <font>
      <u/>
      <sz val="11"/>
      <color theme="1"/>
      <name val="Calibri"/>
      <family val="2"/>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4">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2" borderId="1" xfId="0" applyFont="1" applyFill="1" applyBorder="1" applyAlignment="1">
      <alignment horizontal="right"/>
    </xf>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xf numFmtId="0" fontId="2" fillId="3" borderId="1" xfId="0" applyFont="1" applyFill="1" applyBorder="1" applyAlignment="1">
      <alignment horizontal="right"/>
    </xf>
    <xf numFmtId="0" fontId="2" fillId="3" borderId="1" xfId="0" applyFont="1" applyFill="1" applyBorder="1"/>
    <xf numFmtId="0" fontId="2" fillId="3" borderId="1" xfId="0" applyFont="1" applyFill="1" applyBorder="1" applyAlignment="1">
      <alignment wrapText="1"/>
    </xf>
    <xf numFmtId="0" fontId="3" fillId="3" borderId="1" xfId="0" applyFont="1" applyFill="1" applyBorder="1"/>
    <xf numFmtId="0" fontId="2" fillId="4" borderId="1" xfId="0" applyFont="1" applyFill="1" applyBorder="1" applyAlignment="1">
      <alignment horizontal="right"/>
    </xf>
    <xf numFmtId="0" fontId="2" fillId="4" borderId="1" xfId="0" applyFont="1" applyFill="1" applyBorder="1"/>
    <xf numFmtId="0" fontId="2" fillId="4" borderId="1" xfId="0" applyFont="1" applyFill="1" applyBorder="1" applyAlignment="1">
      <alignment wrapText="1"/>
    </xf>
    <xf numFmtId="0" fontId="3" fillId="4" borderId="1" xfId="0" applyFont="1" applyFill="1" applyBorder="1"/>
    <xf numFmtId="0" fontId="2" fillId="5" borderId="1" xfId="0" applyFont="1" applyFill="1" applyBorder="1" applyAlignment="1">
      <alignment horizontal="right"/>
    </xf>
    <xf numFmtId="0" fontId="2" fillId="5" borderId="1" xfId="0" applyFont="1" applyFill="1" applyBorder="1"/>
    <xf numFmtId="0" fontId="2" fillId="5" borderId="1" xfId="0" applyFont="1" applyFill="1" applyBorder="1" applyAlignment="1">
      <alignment wrapText="1"/>
    </xf>
    <xf numFmtId="0" fontId="3" fillId="5" borderId="1" xfId="0" applyFont="1" applyFill="1" applyBorder="1"/>
    <xf numFmtId="0" fontId="2" fillId="6" borderId="1" xfId="0" applyFont="1" applyFill="1" applyBorder="1" applyAlignment="1">
      <alignment horizontal="right"/>
    </xf>
    <xf numFmtId="0" fontId="2" fillId="6" borderId="1" xfId="0" applyFont="1" applyFill="1" applyBorder="1"/>
    <xf numFmtId="0" fontId="2" fillId="6" borderId="1" xfId="0" applyFont="1" applyFill="1" applyBorder="1" applyAlignment="1">
      <alignment wrapText="1"/>
    </xf>
    <xf numFmtId="0" fontId="3" fillId="6" borderId="1" xfId="0" applyFont="1" applyFill="1" applyBorder="1"/>
    <xf numFmtId="0" fontId="6" fillId="0" borderId="0" xfId="0" applyFont="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49" fontId="7"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7" borderId="1" xfId="0" applyFont="1" applyFill="1" applyBorder="1" applyAlignment="1">
      <alignment horizontal="center" vertical="center" wrapText="1"/>
    </xf>
    <xf numFmtId="0" fontId="9" fillId="8" borderId="1" xfId="0" applyFont="1" applyFill="1" applyBorder="1" applyAlignment="1">
      <alignment vertical="center" wrapText="1"/>
    </xf>
    <xf numFmtId="0" fontId="3" fillId="8" borderId="1" xfId="0" applyFont="1" applyFill="1" applyBorder="1" applyAlignment="1">
      <alignment vertical="center" wrapText="1"/>
    </xf>
    <xf numFmtId="0" fontId="8" fillId="7" borderId="1" xfId="0" applyFont="1" applyFill="1" applyBorder="1" applyAlignment="1">
      <alignment horizontal="left" vertical="center" wrapText="1"/>
    </xf>
    <xf numFmtId="0" fontId="3" fillId="0" borderId="1" xfId="0" applyFont="1" applyBorder="1" applyAlignment="1">
      <alignment vertical="center" wrapText="1"/>
    </xf>
    <xf numFmtId="0" fontId="7" fillId="0" borderId="1" xfId="0" applyFont="1" applyBorder="1" applyAlignment="1">
      <alignment horizontal="left" vertical="center" wrapText="1"/>
    </xf>
    <xf numFmtId="0" fontId="10" fillId="8" borderId="1" xfId="0" applyFont="1" applyFill="1" applyBorder="1" applyAlignment="1">
      <alignment vertical="center" wrapText="1"/>
    </xf>
    <xf numFmtId="0" fontId="11" fillId="8" borderId="1" xfId="0" applyFont="1" applyFill="1" applyBorder="1" applyAlignment="1">
      <alignment vertical="center" wrapText="1"/>
    </xf>
    <xf numFmtId="0" fontId="12" fillId="8" borderId="1" xfId="0" applyFont="1" applyFill="1" applyBorder="1" applyAlignment="1">
      <alignment vertical="center" wrapText="1"/>
    </xf>
    <xf numFmtId="0" fontId="13" fillId="0" borderId="1" xfId="0" applyFont="1" applyBorder="1" applyAlignment="1">
      <alignment horizontal="center" vertical="center" wrapText="1"/>
    </xf>
    <xf numFmtId="0" fontId="7" fillId="0" borderId="0" xfId="0" applyFont="1" applyAlignment="1">
      <alignment vertical="center" wrapText="1"/>
    </xf>
    <xf numFmtId="0" fontId="14" fillId="8" borderId="1" xfId="0" applyFont="1" applyFill="1" applyBorder="1" applyAlignment="1">
      <alignment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vertical="center" wrapText="1"/>
    </xf>
    <xf numFmtId="49" fontId="7" fillId="9" borderId="1" xfId="0" applyNumberFormat="1" applyFont="1" applyFill="1" applyBorder="1" applyAlignment="1">
      <alignment horizontal="center" vertical="center" wrapText="1"/>
    </xf>
    <xf numFmtId="0" fontId="6" fillId="9" borderId="0" xfId="0" applyFont="1" applyFill="1" applyAlignment="1">
      <alignment vertical="center" wrapText="1"/>
    </xf>
    <xf numFmtId="0" fontId="7" fillId="0" borderId="2" xfId="0" applyFont="1" applyBorder="1" applyAlignment="1">
      <alignment horizontal="center" vertical="center" wrapText="1"/>
    </xf>
    <xf numFmtId="0" fontId="7" fillId="9" borderId="2" xfId="0" applyFont="1" applyFill="1" applyBorder="1" applyAlignment="1">
      <alignment horizontal="center" vertical="center" wrapText="1"/>
    </xf>
    <xf numFmtId="0" fontId="3" fillId="0" borderId="3" xfId="0" applyFont="1" applyBorder="1" applyAlignment="1">
      <alignment vertical="center" wrapText="1"/>
    </xf>
    <xf numFmtId="0" fontId="7" fillId="0" borderId="3" xfId="0" applyFont="1" applyBorder="1" applyAlignment="1">
      <alignment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49" fontId="4" fillId="0" borderId="5"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164" fontId="5" fillId="7" borderId="5" xfId="0" applyNumberFormat="1" applyFont="1" applyFill="1" applyBorder="1" applyAlignment="1">
      <alignment horizontal="center" vertical="center" wrapText="1"/>
    </xf>
    <xf numFmtId="164" fontId="5" fillId="8" borderId="5" xfId="0" applyNumberFormat="1" applyFont="1" applyFill="1" applyBorder="1" applyAlignment="1">
      <alignment horizontal="center" vertical="center" wrapText="1"/>
    </xf>
    <xf numFmtId="164" fontId="5" fillId="0" borderId="6"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8" xfId="0" applyFont="1" applyBorder="1" applyAlignment="1">
      <alignment vertical="center" wrapText="1"/>
    </xf>
    <xf numFmtId="49" fontId="7" fillId="0" borderId="8" xfId="0" applyNumberFormat="1" applyFont="1" applyBorder="1" applyAlignment="1">
      <alignment horizontal="center" vertical="center" wrapText="1"/>
    </xf>
    <xf numFmtId="0" fontId="3" fillId="0" borderId="8" xfId="0" applyFont="1" applyBorder="1" applyAlignment="1">
      <alignment vertical="center" wrapText="1"/>
    </xf>
    <xf numFmtId="0" fontId="8" fillId="7" borderId="8" xfId="0" applyFont="1" applyFill="1" applyBorder="1" applyAlignment="1">
      <alignment horizontal="center" vertical="center" wrapText="1"/>
    </xf>
    <xf numFmtId="0" fontId="3" fillId="8" borderId="8" xfId="0" applyFont="1" applyFill="1" applyBorder="1" applyAlignment="1">
      <alignment vertical="center" wrapText="1"/>
    </xf>
    <xf numFmtId="0" fontId="8" fillId="7" borderId="8" xfId="0" applyFont="1" applyFill="1" applyBorder="1" applyAlignment="1">
      <alignment horizontal="left" vertical="center" wrapText="1"/>
    </xf>
    <xf numFmtId="0" fontId="3" fillId="0" borderId="9" xfId="0" applyFont="1" applyBorder="1" applyAlignment="1">
      <alignment vertical="center" wrapText="1"/>
    </xf>
  </cellXfs>
  <cellStyles count="1">
    <cellStyle name="Normal" xfId="0" builtinId="0"/>
  </cellStyles>
  <dxfs count="29">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B410B2-189D-47CB-8EE9-3C34640BA93E}" name="Table1" displayName="Table1" ref="A1:AA65" totalsRowShown="0" headerRowBorderDxfId="28" tableBorderDxfId="27">
  <autoFilter ref="A1:AA65" xr:uid="{90B410B2-189D-47CB-8EE9-3C34640BA93E}"/>
  <tableColumns count="27">
    <tableColumn id="1" xr3:uid="{5B31EC9B-6E09-4890-85EC-FA25C410DE9A}" name="STT" dataDxfId="26"/>
    <tableColumn id="2" xr3:uid="{8F168FF6-81CC-43BD-A9DB-8D4FEE38BFA5}" name="THỨ" dataDxfId="25"/>
    <tableColumn id="3" xr3:uid="{5CAFD34B-2386-434E-A045-707BFDC4A1E2}" name="Giờ" dataDxfId="24"/>
    <tableColumn id="4" xr3:uid="{512402F2-D90A-4A40-8CD5-5C41DEB6AE24}" name="Ngày" dataDxfId="23"/>
    <tableColumn id="5" xr3:uid="{B35E6B06-8A8C-4D57-BA02-3CE9199D3B37}" name="Tháng" dataDxfId="22"/>
    <tableColumn id="6" xr3:uid="{4162DE74-61C4-40D6-A3EC-71BB858AD42D}" name="Năm" dataDxfId="21"/>
    <tableColumn id="7" xr3:uid="{076147B4-B495-43CF-8D01-6ABE9F8C453B}" name="ĐƠN VỊ" dataDxfId="20"/>
    <tableColumn id="8" xr3:uid="{9B9454AB-5C41-4AA3-84A5-A219E3805779}" name="NỘI DUNG/CHƯƠNG TRÌNH" dataDxfId="19"/>
    <tableColumn id="9" xr3:uid="{02ED43A7-77E7-48E6-BA45-492F3B97B63F}" name="BÁO CÁO VIÊN" dataDxfId="18"/>
    <tableColumn id="10" xr3:uid="{1C5AF510-9ED1-4215-B653-6F07214DCFE3}" name="ĐỐI TƯỢNG" dataDxfId="17"/>
    <tableColumn id="11" xr3:uid="{4B59BBDF-AFD0-4EB1-8E2D-F3D5A828184A}" name="ĐỊA ĐIỂM" dataDxfId="16"/>
    <tableColumn id="12" xr3:uid="{2C4905D6-BD4C-4E24-A0A0-073B35FCCEAA}" name="ĐẦU MỐI" dataDxfId="15"/>
    <tableColumn id="13" xr3:uid="{E988D52F-9F9C-4C8E-B19F-324B9F63157E}" name="LIÊN HỆ" dataDxfId="14"/>
    <tableColumn id="14" xr3:uid="{22FDAA73-4D31-4787-AEAD-1B61E3C80F34}" name="Số học viên tham gia" dataDxfId="13"/>
    <tableColumn id="15" xr3:uid="{79F7E738-A07C-4C17-B520-90813975E348}" name="Số Học viên đạt" dataDxfId="12"/>
    <tableColumn id="16" xr3:uid="{5163099D-F544-4513-9F19-6CF75302741E}" name="Số HV không đạt" dataDxfId="11"/>
    <tableColumn id="17" xr3:uid="{52DE0D28-895F-4B65-A026-31E0BA72CDBD}" name="Đúng form post test điểm danh (ít nhất 10 câu): Có/Không" dataDxfId="10"/>
    <tableColumn id="18" xr3:uid="{85D0E945-FD37-42C2-B290-67C344AD0EAC}" name="Có bài post test" dataDxfId="9">
      <calculatedColumnFormula>IF(U2&gt;0,"Có","Không")</calculatedColumnFormula>
    </tableColumn>
    <tableColumn id="19" xr3:uid="{86A3A778-96D2-4CED-968E-EE1224E3026C}" name="Có bảng kiểm" dataDxfId="8">
      <calculatedColumnFormula>IF(V2&gt;0,"Có","Không")</calculatedColumnFormula>
    </tableColumn>
    <tableColumn id="20" xr3:uid="{536835F8-82E5-4FFE-809B-CEB99602BD43}" name="Có bài báo cáo" dataDxfId="7">
      <calculatedColumnFormula>IF(W2&gt;0,"Có","Không")</calculatedColumnFormula>
    </tableColumn>
    <tableColumn id="21" xr3:uid="{1566E7DB-F21C-432E-B944-A740ABC63A0B}" name="Gắn link Điểm danh và post test" dataDxfId="6"/>
    <tableColumn id="22" xr3:uid="{F0EAC81B-3B41-45DE-A861-0FD19992A27C}" name="Gắn link bảng kiểm đào tạo nội bộ" dataDxfId="5"/>
    <tableColumn id="23" xr3:uid="{ACB5F8C4-FA04-45DC-907E-6A31059B1238}" name="Gắn link bài báo cáo" dataDxfId="4"/>
    <tableColumn id="24" xr3:uid="{ADFBF832-DE4E-467C-8BCD-BA4D3CF6A366}" name="Gắn link video buổi đào tạo" dataDxfId="3"/>
    <tableColumn id="25" xr3:uid="{F367DE06-3C22-489A-9978-9D9C8F82DD03}" name="Tình trạng thực hiện" dataDxfId="2">
      <calculatedColumnFormula>IF(COUNTA(U2:W2)&gt;0,"Thực hiện","Không thực hiện")</calculatedColumnFormula>
    </tableColumn>
    <tableColumn id="26" xr3:uid="{EA46BB97-E945-400E-AB72-7D231FB4F048}" name="Calendar" dataDxfId="1"/>
    <tableColumn id="27" xr3:uid="{E269603F-E64F-4423-86BB-AB2DD454DC72}"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q2WpcyTZJgzEvYeiVSk7DaF7oHf6-bEK/edit?usp=sharing&amp;ouid=111295642787305152707&amp;rtpof=true&amp;sd=true" TargetMode="External"/><Relationship Id="rId13" Type="http://schemas.openxmlformats.org/officeDocument/2006/relationships/table" Target="../tables/table1.xml"/><Relationship Id="rId3" Type="http://schemas.openxmlformats.org/officeDocument/2006/relationships/hyperlink" Target="https://docs.google.com/forms/d/1IkyzU1RSItwKrFm-lgc_ZwwM8ngWiexPuaJS3WDx3WU/edit" TargetMode="External"/><Relationship Id="rId7" Type="http://schemas.openxmlformats.org/officeDocument/2006/relationships/hyperlink" Target="https://docs.google.com/presentation/d/1KYN2OmRPK2OQ_czrDPzFZZ4HVp41AKsQ/edit?usp=sharing&amp;ouid=104630271136436560441&amp;rtpof=true&amp;sd=true" TargetMode="External"/><Relationship Id="rId12" Type="http://schemas.openxmlformats.org/officeDocument/2006/relationships/hyperlink" Target="https://docs.google.com/presentation/d/1f8Rk6Z4o8xNPO6eRpSffMlElcwSd3893/edit?usp=sharing&amp;ouid=107457168863880537852&amp;rtpof=true&amp;sd=true" TargetMode="External"/><Relationship Id="rId2" Type="http://schemas.openxmlformats.org/officeDocument/2006/relationships/hyperlink" Target="https://docs.google.com/forms/d/1SqdmLCRbz1XBtlwcSqic9XRUN0Xd7Yp72AbyqtZhmi4/edit" TargetMode="External"/><Relationship Id="rId1" Type="http://schemas.openxmlformats.org/officeDocument/2006/relationships/hyperlink" Target="https://docs.google.com/forms/d/1D3yfFbieLg1Qe8knI5eK4MP2rRU-juMjbjWyI5nZFRs/edit" TargetMode="External"/><Relationship Id="rId6" Type="http://schemas.openxmlformats.org/officeDocument/2006/relationships/hyperlink" Target="https://docs.google.com/spreadsheets/d/1-C-P7FJJ38QgtsbP43Cy-IGPYn2BAZRy/edit?usp=drive_link&amp;ouid=106807786011364113500&amp;rtpof=true&amp;sd=true" TargetMode="External"/><Relationship Id="rId11" Type="http://schemas.openxmlformats.org/officeDocument/2006/relationships/hyperlink" Target="https://docs.google.com/document/d/1Szl6tLwy4FNiMRWKE2kCWomYrye0-TxtzkyWUJdB-_U/edit?tab=t.0" TargetMode="External"/><Relationship Id="rId5" Type="http://schemas.openxmlformats.org/officeDocument/2006/relationships/hyperlink" Target="https://docs.google.com/presentation/d/1MtrFJGgW71ZatkrINkT45ultvxeOKcEy/edit?usp=drive_link&amp;ouid=109187418966570392156&amp;rtpof=true&amp;sd=true" TargetMode="External"/><Relationship Id="rId10" Type="http://schemas.openxmlformats.org/officeDocument/2006/relationships/hyperlink" Target="https://docs.google.com/spreadsheets/d/1L_zv6uUhvSU9tXdeOqfGu7-Av2kT0Cn4umIiHhfEK3M/edit?resourcekey=&amp;gid=599113286" TargetMode="External"/><Relationship Id="rId4" Type="http://schemas.openxmlformats.org/officeDocument/2006/relationships/hyperlink" Target="https://docs.google.com/document/d/1d6HOGfF_y68InimBfFZUDVvaW4D8Evax/edit" TargetMode="External"/><Relationship Id="rId9" Type="http://schemas.openxmlformats.org/officeDocument/2006/relationships/hyperlink" Target="https://docs.google.com/presentation/d/1q3MDQeVgdxOh0tIvEk2hVv9cQB9zvyaP/edit?usp=sharing&amp;ouid=111295642787305152707&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4"/>
  <sheetViews>
    <sheetView workbookViewId="0"/>
  </sheetViews>
  <sheetFormatPr baseColWidth="10" defaultColWidth="14.5" defaultRowHeight="15" customHeight="1" x14ac:dyDescent="0.2"/>
  <cols>
    <col min="4" max="4" width="43.6640625" customWidth="1"/>
    <col min="5" max="5" width="40" customWidth="1"/>
  </cols>
  <sheetData>
    <row r="1" spans="1:7" ht="15" customHeight="1" x14ac:dyDescent="0.2">
      <c r="A1" s="1" t="s">
        <v>0</v>
      </c>
      <c r="B1" s="1" t="s">
        <v>1</v>
      </c>
      <c r="C1" s="1" t="s">
        <v>2</v>
      </c>
      <c r="D1" s="2" t="s">
        <v>3</v>
      </c>
      <c r="E1" s="2" t="s">
        <v>4</v>
      </c>
      <c r="F1" s="2" t="s">
        <v>5</v>
      </c>
      <c r="G1" s="2" t="s">
        <v>6</v>
      </c>
    </row>
    <row r="2" spans="1:7" ht="15" customHeight="1" x14ac:dyDescent="0.2">
      <c r="A2" s="3">
        <v>1</v>
      </c>
      <c r="B2" s="4" t="s">
        <v>7</v>
      </c>
      <c r="C2" s="4" t="s">
        <v>8</v>
      </c>
      <c r="D2" s="5" t="s">
        <v>9</v>
      </c>
      <c r="E2" s="6"/>
      <c r="F2" s="6"/>
      <c r="G2" s="6"/>
    </row>
    <row r="3" spans="1:7" ht="15" customHeight="1" x14ac:dyDescent="0.2">
      <c r="A3" s="3">
        <v>2</v>
      </c>
      <c r="B3" s="4" t="s">
        <v>7</v>
      </c>
      <c r="C3" s="4" t="s">
        <v>10</v>
      </c>
      <c r="D3" s="5" t="s">
        <v>11</v>
      </c>
      <c r="E3" s="5" t="s">
        <v>12</v>
      </c>
      <c r="F3" s="5" t="s">
        <v>13</v>
      </c>
      <c r="G3" s="5"/>
    </row>
    <row r="4" spans="1:7" ht="15" customHeight="1" x14ac:dyDescent="0.2">
      <c r="A4" s="3">
        <v>4</v>
      </c>
      <c r="B4" s="4" t="s">
        <v>7</v>
      </c>
      <c r="C4" s="4" t="s">
        <v>14</v>
      </c>
      <c r="D4" s="5" t="s">
        <v>15</v>
      </c>
      <c r="E4" s="5" t="s">
        <v>12</v>
      </c>
      <c r="F4" s="6"/>
      <c r="G4" s="6"/>
    </row>
    <row r="5" spans="1:7" ht="15" customHeight="1" x14ac:dyDescent="0.2">
      <c r="A5" s="3">
        <v>6</v>
      </c>
      <c r="B5" s="4" t="s">
        <v>7</v>
      </c>
      <c r="C5" s="4" t="s">
        <v>16</v>
      </c>
      <c r="D5" s="5" t="s">
        <v>17</v>
      </c>
      <c r="E5" s="6"/>
      <c r="F5" s="6"/>
      <c r="G5" s="6"/>
    </row>
    <row r="6" spans="1:7" ht="15" customHeight="1" x14ac:dyDescent="0.2">
      <c r="A6" s="7">
        <v>7</v>
      </c>
      <c r="B6" s="8" t="s">
        <v>18</v>
      </c>
      <c r="C6" s="8" t="s">
        <v>19</v>
      </c>
      <c r="D6" s="9" t="s">
        <v>20</v>
      </c>
      <c r="E6" s="10"/>
      <c r="F6" s="9" t="s">
        <v>21</v>
      </c>
      <c r="G6" s="10"/>
    </row>
    <row r="7" spans="1:7" ht="15" customHeight="1" x14ac:dyDescent="0.2">
      <c r="A7" s="7">
        <v>8</v>
      </c>
      <c r="B7" s="8" t="s">
        <v>18</v>
      </c>
      <c r="C7" s="8" t="s">
        <v>22</v>
      </c>
      <c r="D7" s="9" t="s">
        <v>23</v>
      </c>
      <c r="E7" s="10"/>
      <c r="F7" s="10"/>
      <c r="G7" s="10"/>
    </row>
    <row r="8" spans="1:7" ht="15" customHeight="1" x14ac:dyDescent="0.2">
      <c r="A8" s="7">
        <v>9</v>
      </c>
      <c r="B8" s="8" t="s">
        <v>18</v>
      </c>
      <c r="C8" s="8" t="s">
        <v>24</v>
      </c>
      <c r="D8" s="9" t="s">
        <v>25</v>
      </c>
      <c r="E8" s="9" t="s">
        <v>26</v>
      </c>
      <c r="F8" s="10"/>
      <c r="G8" s="10"/>
    </row>
    <row r="9" spans="1:7" ht="15" customHeight="1" x14ac:dyDescent="0.2">
      <c r="A9" s="7">
        <v>10</v>
      </c>
      <c r="B9" s="8" t="s">
        <v>18</v>
      </c>
      <c r="C9" s="8" t="s">
        <v>27</v>
      </c>
      <c r="D9" s="9" t="s">
        <v>28</v>
      </c>
      <c r="E9" s="10"/>
      <c r="F9" s="9" t="s">
        <v>29</v>
      </c>
      <c r="G9" s="10"/>
    </row>
    <row r="10" spans="1:7" ht="15" customHeight="1" x14ac:dyDescent="0.2">
      <c r="A10" s="7">
        <v>11</v>
      </c>
      <c r="B10" s="8" t="s">
        <v>18</v>
      </c>
      <c r="C10" s="8" t="s">
        <v>30</v>
      </c>
      <c r="D10" s="9" t="s">
        <v>31</v>
      </c>
      <c r="E10" s="10"/>
      <c r="F10" s="10"/>
      <c r="G10" s="10"/>
    </row>
    <row r="11" spans="1:7" ht="15" customHeight="1" x14ac:dyDescent="0.2">
      <c r="A11" s="7">
        <v>12</v>
      </c>
      <c r="B11" s="8" t="s">
        <v>18</v>
      </c>
      <c r="C11" s="8" t="s">
        <v>32</v>
      </c>
      <c r="D11" s="9" t="s">
        <v>33</v>
      </c>
      <c r="E11" s="10"/>
      <c r="F11" s="10"/>
      <c r="G11" s="10"/>
    </row>
    <row r="12" spans="1:7" ht="15" customHeight="1" x14ac:dyDescent="0.2">
      <c r="A12" s="11">
        <v>13</v>
      </c>
      <c r="B12" s="12" t="s">
        <v>34</v>
      </c>
      <c r="C12" s="12" t="s">
        <v>35</v>
      </c>
      <c r="D12" s="13" t="s">
        <v>36</v>
      </c>
      <c r="E12" s="14"/>
      <c r="F12" s="14"/>
      <c r="G12" s="14"/>
    </row>
    <row r="13" spans="1:7" ht="15" customHeight="1" x14ac:dyDescent="0.2">
      <c r="A13" s="11">
        <v>14</v>
      </c>
      <c r="B13" s="12" t="s">
        <v>34</v>
      </c>
      <c r="C13" s="12" t="s">
        <v>37</v>
      </c>
      <c r="D13" s="13" t="s">
        <v>38</v>
      </c>
      <c r="E13" s="14"/>
      <c r="F13" s="14"/>
      <c r="G13" s="14"/>
    </row>
    <row r="14" spans="1:7" ht="15" customHeight="1" x14ac:dyDescent="0.2">
      <c r="A14" s="11">
        <v>15</v>
      </c>
      <c r="B14" s="12" t="s">
        <v>34</v>
      </c>
      <c r="C14" s="12" t="s">
        <v>39</v>
      </c>
      <c r="D14" s="13" t="s">
        <v>40</v>
      </c>
      <c r="E14" s="14"/>
      <c r="F14" s="14"/>
      <c r="G14" s="14"/>
    </row>
    <row r="15" spans="1:7" ht="15" customHeight="1" x14ac:dyDescent="0.2">
      <c r="A15" s="15">
        <v>16</v>
      </c>
      <c r="B15" s="16" t="s">
        <v>41</v>
      </c>
      <c r="C15" s="16" t="s">
        <v>42</v>
      </c>
      <c r="D15" s="17" t="s">
        <v>43</v>
      </c>
      <c r="E15" s="18"/>
      <c r="F15" s="18"/>
      <c r="G15" s="18"/>
    </row>
    <row r="16" spans="1:7" ht="15" customHeight="1" x14ac:dyDescent="0.2">
      <c r="A16" s="15">
        <v>17</v>
      </c>
      <c r="B16" s="16" t="s">
        <v>41</v>
      </c>
      <c r="C16" s="16" t="s">
        <v>44</v>
      </c>
      <c r="D16" s="17" t="s">
        <v>45</v>
      </c>
      <c r="E16" s="18"/>
      <c r="F16" s="18"/>
      <c r="G16" s="18"/>
    </row>
    <row r="17" spans="1:7" ht="15" customHeight="1" x14ac:dyDescent="0.2">
      <c r="A17" s="15">
        <v>18</v>
      </c>
      <c r="B17" s="16" t="s">
        <v>41</v>
      </c>
      <c r="C17" s="16" t="s">
        <v>46</v>
      </c>
      <c r="D17" s="17" t="s">
        <v>47</v>
      </c>
      <c r="E17" s="18"/>
      <c r="F17" s="18"/>
      <c r="G17" s="18"/>
    </row>
    <row r="18" spans="1:7" ht="15" customHeight="1" x14ac:dyDescent="0.2">
      <c r="A18" s="15">
        <v>19</v>
      </c>
      <c r="B18" s="16" t="s">
        <v>41</v>
      </c>
      <c r="C18" s="16" t="s">
        <v>48</v>
      </c>
      <c r="D18" s="17" t="s">
        <v>49</v>
      </c>
      <c r="E18" s="18"/>
      <c r="F18" s="18"/>
      <c r="G18" s="18"/>
    </row>
    <row r="19" spans="1:7" ht="15" customHeight="1" x14ac:dyDescent="0.2">
      <c r="A19" s="15">
        <v>20</v>
      </c>
      <c r="B19" s="16" t="s">
        <v>41</v>
      </c>
      <c r="C19" s="16" t="s">
        <v>50</v>
      </c>
      <c r="D19" s="17" t="s">
        <v>51</v>
      </c>
      <c r="E19" s="18"/>
      <c r="F19" s="18"/>
      <c r="G19" s="18"/>
    </row>
    <row r="20" spans="1:7" ht="15" customHeight="1" x14ac:dyDescent="0.2">
      <c r="A20" s="19">
        <v>21</v>
      </c>
      <c r="B20" s="20" t="s">
        <v>52</v>
      </c>
      <c r="C20" s="20" t="s">
        <v>53</v>
      </c>
      <c r="D20" s="21" t="s">
        <v>54</v>
      </c>
      <c r="E20" s="22"/>
      <c r="F20" s="22"/>
      <c r="G20" s="22"/>
    </row>
    <row r="21" spans="1:7" ht="15" customHeight="1" x14ac:dyDescent="0.2">
      <c r="A21" s="19">
        <v>22</v>
      </c>
      <c r="B21" s="20" t="s">
        <v>52</v>
      </c>
      <c r="C21" s="20" t="s">
        <v>55</v>
      </c>
      <c r="D21" s="21" t="s">
        <v>56</v>
      </c>
      <c r="E21" s="22"/>
      <c r="F21" s="22"/>
      <c r="G21" s="22"/>
    </row>
    <row r="22" spans="1:7" ht="15" customHeight="1" x14ac:dyDescent="0.2">
      <c r="A22" s="19">
        <v>23</v>
      </c>
      <c r="B22" s="20" t="s">
        <v>52</v>
      </c>
      <c r="C22" s="20" t="s">
        <v>57</v>
      </c>
      <c r="D22" s="21" t="s">
        <v>58</v>
      </c>
      <c r="E22" s="22"/>
      <c r="F22" s="22"/>
      <c r="G22" s="22"/>
    </row>
    <row r="23" spans="1:7" ht="15" customHeight="1" x14ac:dyDescent="0.2">
      <c r="A23" s="19">
        <v>24</v>
      </c>
      <c r="B23" s="20" t="s">
        <v>52</v>
      </c>
      <c r="C23" s="20" t="s">
        <v>59</v>
      </c>
      <c r="D23" s="21" t="s">
        <v>60</v>
      </c>
      <c r="E23" s="22"/>
      <c r="F23" s="22"/>
      <c r="G23" s="22"/>
    </row>
    <row r="24" spans="1:7" ht="15" customHeight="1" x14ac:dyDescent="0.2">
      <c r="A24" s="19">
        <v>25</v>
      </c>
      <c r="B24" s="20" t="s">
        <v>52</v>
      </c>
      <c r="C24" s="20" t="s">
        <v>61</v>
      </c>
      <c r="D24" s="21" t="s">
        <v>62</v>
      </c>
      <c r="E24" s="22"/>
      <c r="F24" s="22"/>
      <c r="G24"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5"/>
  <sheetViews>
    <sheetView tabSelected="1" workbookViewId="0">
      <pane xSplit="8" ySplit="1" topLeftCell="J2" activePane="bottomRight" state="frozen"/>
      <selection pane="topRight" activeCell="I1" sqref="I1"/>
      <selection pane="bottomLeft" activeCell="A2" sqref="A2"/>
      <selection pane="bottomRight" activeCell="J2" sqref="J2"/>
    </sheetView>
  </sheetViews>
  <sheetFormatPr baseColWidth="10" defaultColWidth="14.5" defaultRowHeight="15" customHeight="1" x14ac:dyDescent="0.2"/>
  <cols>
    <col min="1" max="1" width="8.5" customWidth="1"/>
    <col min="2" max="2" width="14.83203125" customWidth="1"/>
    <col min="3" max="3" width="14.5" customWidth="1"/>
    <col min="4" max="4" width="9.33203125" customWidth="1"/>
    <col min="5" max="5" width="10.6640625" customWidth="1"/>
    <col min="6" max="6" width="19.1640625" customWidth="1"/>
    <col min="7" max="7" width="26.6640625" customWidth="1"/>
    <col min="8" max="8" width="58.1640625" customWidth="1"/>
    <col min="9" max="9" width="36.83203125" customWidth="1"/>
    <col min="10" max="10" width="32.83203125" customWidth="1"/>
    <col min="11" max="11" width="33" customWidth="1"/>
    <col min="12" max="12" width="25.83203125" customWidth="1"/>
    <col min="13" max="13" width="20.5" customWidth="1"/>
    <col min="14" max="14" width="24.6640625" customWidth="1"/>
    <col min="15" max="15" width="19.5" customWidth="1"/>
    <col min="16" max="16" width="20.5" customWidth="1"/>
    <col min="17" max="17" width="63.6640625" customWidth="1"/>
    <col min="18" max="18" width="19.5" customWidth="1"/>
    <col min="19" max="19" width="17.5" customWidth="1"/>
    <col min="20" max="20" width="37.6640625" customWidth="1"/>
    <col min="21" max="21" width="36.5" customWidth="1"/>
    <col min="22" max="22" width="39.1640625" customWidth="1"/>
    <col min="23" max="23" width="24.6640625" customWidth="1"/>
    <col min="24" max="24" width="32.1640625" customWidth="1"/>
    <col min="25" max="25" width="24.6640625" customWidth="1"/>
    <col min="26" max="26" width="52.5" customWidth="1"/>
    <col min="27" max="27" width="27.5" customWidth="1"/>
    <col min="28" max="28" width="8.6640625" customWidth="1"/>
  </cols>
  <sheetData>
    <row r="1" spans="1:28" ht="39" customHeight="1" x14ac:dyDescent="0.2">
      <c r="A1" s="48" t="s">
        <v>0</v>
      </c>
      <c r="B1" s="49" t="s">
        <v>63</v>
      </c>
      <c r="C1" s="49" t="s">
        <v>233</v>
      </c>
      <c r="D1" s="49" t="s">
        <v>64</v>
      </c>
      <c r="E1" s="49" t="s">
        <v>65</v>
      </c>
      <c r="F1" s="49" t="s">
        <v>66</v>
      </c>
      <c r="G1" s="49" t="s">
        <v>234</v>
      </c>
      <c r="H1" s="49" t="s">
        <v>67</v>
      </c>
      <c r="I1" s="49" t="s">
        <v>68</v>
      </c>
      <c r="J1" s="49" t="s">
        <v>235</v>
      </c>
      <c r="K1" s="49" t="s">
        <v>69</v>
      </c>
      <c r="L1" s="49" t="s">
        <v>70</v>
      </c>
      <c r="M1" s="50" t="s">
        <v>71</v>
      </c>
      <c r="N1" s="51" t="s">
        <v>72</v>
      </c>
      <c r="O1" s="51" t="s">
        <v>73</v>
      </c>
      <c r="P1" s="51" t="s">
        <v>74</v>
      </c>
      <c r="Q1" s="51" t="s">
        <v>75</v>
      </c>
      <c r="R1" s="52" t="s">
        <v>76</v>
      </c>
      <c r="S1" s="52" t="s">
        <v>77</v>
      </c>
      <c r="T1" s="52" t="s">
        <v>78</v>
      </c>
      <c r="U1" s="53" t="s">
        <v>79</v>
      </c>
      <c r="V1" s="53" t="s">
        <v>80</v>
      </c>
      <c r="W1" s="53" t="s">
        <v>81</v>
      </c>
      <c r="X1" s="53" t="s">
        <v>82</v>
      </c>
      <c r="Y1" s="52" t="s">
        <v>83</v>
      </c>
      <c r="Z1" s="52" t="s">
        <v>18</v>
      </c>
      <c r="AA1" s="54" t="s">
        <v>84</v>
      </c>
      <c r="AB1" s="23"/>
    </row>
    <row r="2" spans="1:28" ht="38" x14ac:dyDescent="0.2">
      <c r="A2" s="44">
        <v>1</v>
      </c>
      <c r="B2" s="24" t="s">
        <v>85</v>
      </c>
      <c r="C2" s="24"/>
      <c r="D2" s="24">
        <v>5</v>
      </c>
      <c r="E2" s="24">
        <v>1</v>
      </c>
      <c r="F2" s="25">
        <v>2026</v>
      </c>
      <c r="G2" s="25" t="s">
        <v>86</v>
      </c>
      <c r="H2" s="25" t="s">
        <v>87</v>
      </c>
      <c r="I2" s="25" t="s">
        <v>88</v>
      </c>
      <c r="J2" s="25" t="s">
        <v>89</v>
      </c>
      <c r="K2" s="24" t="s">
        <v>90</v>
      </c>
      <c r="L2" s="25" t="s">
        <v>91</v>
      </c>
      <c r="M2" s="26" t="s">
        <v>92</v>
      </c>
      <c r="N2" s="27"/>
      <c r="O2" s="27"/>
      <c r="P2" s="27"/>
      <c r="Q2" s="27"/>
      <c r="R2" s="28" t="str">
        <f t="shared" ref="R2:T2" si="0">IF(U2&gt;0,"Có","Không")</f>
        <v>Không</v>
      </c>
      <c r="S2" s="28" t="str">
        <f t="shared" si="0"/>
        <v>Không</v>
      </c>
      <c r="T2" s="28" t="str">
        <f t="shared" si="0"/>
        <v>Không</v>
      </c>
      <c r="U2" s="29"/>
      <c r="V2" s="29"/>
      <c r="W2" s="29"/>
      <c r="X2" s="30"/>
      <c r="Y2" s="28" t="str">
        <f t="shared" ref="Y2:Y25" si="1">IF(COUNTA(U2:W2)&gt;0,"Thực hiện","Không thực hiện")</f>
        <v>Không thực hiện</v>
      </c>
      <c r="Z2" s="31"/>
      <c r="AA2" s="46"/>
      <c r="AB2" s="23"/>
    </row>
    <row r="3" spans="1:28" ht="19" x14ac:dyDescent="0.2">
      <c r="A3" s="44">
        <v>2</v>
      </c>
      <c r="B3" s="24" t="s">
        <v>93</v>
      </c>
      <c r="C3" s="24"/>
      <c r="D3" s="24">
        <v>6</v>
      </c>
      <c r="E3" s="24">
        <v>1</v>
      </c>
      <c r="F3" s="25">
        <v>2026</v>
      </c>
      <c r="G3" s="25" t="s">
        <v>86</v>
      </c>
      <c r="H3" s="25" t="s">
        <v>94</v>
      </c>
      <c r="I3" s="25" t="s">
        <v>95</v>
      </c>
      <c r="J3" s="33" t="s">
        <v>96</v>
      </c>
      <c r="K3" s="24" t="s">
        <v>90</v>
      </c>
      <c r="L3" s="33" t="s">
        <v>97</v>
      </c>
      <c r="M3" s="26" t="s">
        <v>98</v>
      </c>
      <c r="N3" s="27"/>
      <c r="O3" s="27"/>
      <c r="P3" s="27"/>
      <c r="Q3" s="27"/>
      <c r="R3" s="28" t="str">
        <f t="shared" ref="R3:T3" si="2">IF(U3&gt;0,"Có","Không")</f>
        <v>Không</v>
      </c>
      <c r="S3" s="28" t="str">
        <f t="shared" si="2"/>
        <v>Không</v>
      </c>
      <c r="T3" s="28" t="str">
        <f t="shared" si="2"/>
        <v>Không</v>
      </c>
      <c r="U3" s="29"/>
      <c r="V3" s="29"/>
      <c r="W3" s="29"/>
      <c r="X3" s="30"/>
      <c r="Y3" s="28" t="str">
        <f t="shared" si="1"/>
        <v>Không thực hiện</v>
      </c>
      <c r="Z3" s="31"/>
      <c r="AA3" s="46"/>
      <c r="AB3" s="23"/>
    </row>
    <row r="4" spans="1:28" ht="19" x14ac:dyDescent="0.2">
      <c r="A4" s="44">
        <v>3</v>
      </c>
      <c r="B4" s="24" t="s">
        <v>99</v>
      </c>
      <c r="C4" s="24"/>
      <c r="D4" s="24">
        <v>15</v>
      </c>
      <c r="E4" s="24">
        <v>1</v>
      </c>
      <c r="F4" s="25">
        <v>2026</v>
      </c>
      <c r="G4" s="25" t="s">
        <v>86</v>
      </c>
      <c r="H4" s="25" t="s">
        <v>100</v>
      </c>
      <c r="I4" s="33" t="s">
        <v>101</v>
      </c>
      <c r="J4" s="33" t="s">
        <v>96</v>
      </c>
      <c r="K4" s="24" t="s">
        <v>90</v>
      </c>
      <c r="L4" s="33" t="s">
        <v>97</v>
      </c>
      <c r="M4" s="26" t="s">
        <v>98</v>
      </c>
      <c r="N4" s="27"/>
      <c r="O4" s="27"/>
      <c r="P4" s="27"/>
      <c r="Q4" s="27"/>
      <c r="R4" s="28" t="str">
        <f t="shared" ref="R4:T4" si="3">IF(U4&gt;0,"Có","Không")</f>
        <v>Không</v>
      </c>
      <c r="S4" s="28" t="str">
        <f t="shared" si="3"/>
        <v>Không</v>
      </c>
      <c r="T4" s="28" t="str">
        <f t="shared" si="3"/>
        <v>Không</v>
      </c>
      <c r="U4" s="29"/>
      <c r="V4" s="29"/>
      <c r="W4" s="29"/>
      <c r="X4" s="30"/>
      <c r="Y4" s="28" t="str">
        <f t="shared" si="1"/>
        <v>Không thực hiện</v>
      </c>
      <c r="Z4" s="31"/>
      <c r="AA4" s="46"/>
      <c r="AB4" s="23"/>
    </row>
    <row r="5" spans="1:28" ht="38" x14ac:dyDescent="0.2">
      <c r="A5" s="44">
        <v>4</v>
      </c>
      <c r="B5" s="24" t="s">
        <v>85</v>
      </c>
      <c r="C5" s="24"/>
      <c r="D5" s="24">
        <v>16</v>
      </c>
      <c r="E5" s="24">
        <v>3</v>
      </c>
      <c r="F5" s="25">
        <v>2026</v>
      </c>
      <c r="G5" s="25" t="s">
        <v>86</v>
      </c>
      <c r="H5" s="25" t="s">
        <v>102</v>
      </c>
      <c r="I5" s="25" t="s">
        <v>103</v>
      </c>
      <c r="J5" s="25" t="s">
        <v>89</v>
      </c>
      <c r="K5" s="24" t="s">
        <v>90</v>
      </c>
      <c r="L5" s="25" t="s">
        <v>91</v>
      </c>
      <c r="M5" s="26" t="s">
        <v>92</v>
      </c>
      <c r="N5" s="27"/>
      <c r="O5" s="27"/>
      <c r="P5" s="27"/>
      <c r="Q5" s="27"/>
      <c r="R5" s="28" t="str">
        <f t="shared" ref="R5:T5" si="4">IF(U5&gt;0,"Có","Không")</f>
        <v>Không</v>
      </c>
      <c r="S5" s="28" t="str">
        <f t="shared" si="4"/>
        <v>Không</v>
      </c>
      <c r="T5" s="28" t="str">
        <f t="shared" si="4"/>
        <v>Không</v>
      </c>
      <c r="U5" s="29"/>
      <c r="V5" s="29"/>
      <c r="W5" s="29"/>
      <c r="X5" s="30"/>
      <c r="Y5" s="28" t="str">
        <f t="shared" si="1"/>
        <v>Không thực hiện</v>
      </c>
      <c r="Z5" s="31"/>
      <c r="AA5" s="46"/>
      <c r="AB5" s="23"/>
    </row>
    <row r="6" spans="1:28" ht="19" x14ac:dyDescent="0.2">
      <c r="A6" s="44">
        <v>5</v>
      </c>
      <c r="B6" s="24" t="s">
        <v>93</v>
      </c>
      <c r="C6" s="24"/>
      <c r="D6" s="24">
        <v>20</v>
      </c>
      <c r="E6" s="24">
        <v>1</v>
      </c>
      <c r="F6" s="25">
        <v>2026</v>
      </c>
      <c r="G6" s="25" t="s">
        <v>86</v>
      </c>
      <c r="H6" s="25" t="s">
        <v>104</v>
      </c>
      <c r="I6" s="25" t="s">
        <v>95</v>
      </c>
      <c r="J6" s="25" t="s">
        <v>105</v>
      </c>
      <c r="K6" s="24" t="s">
        <v>90</v>
      </c>
      <c r="L6" s="33" t="s">
        <v>97</v>
      </c>
      <c r="M6" s="26" t="s">
        <v>98</v>
      </c>
      <c r="N6" s="27"/>
      <c r="O6" s="27"/>
      <c r="P6" s="27"/>
      <c r="Q6" s="27"/>
      <c r="R6" s="28" t="str">
        <f t="shared" ref="R6:T6" si="5">IF(U6&gt;0,"Có","Không")</f>
        <v>Không</v>
      </c>
      <c r="S6" s="28" t="str">
        <f t="shared" si="5"/>
        <v>Không</v>
      </c>
      <c r="T6" s="28" t="str">
        <f t="shared" si="5"/>
        <v>Không</v>
      </c>
      <c r="U6" s="29"/>
      <c r="V6" s="29"/>
      <c r="W6" s="29"/>
      <c r="X6" s="30"/>
      <c r="Y6" s="28" t="str">
        <f t="shared" si="1"/>
        <v>Không thực hiện</v>
      </c>
      <c r="Z6" s="31"/>
      <c r="AA6" s="46"/>
      <c r="AB6" s="23"/>
    </row>
    <row r="7" spans="1:28" ht="38" x14ac:dyDescent="0.2">
      <c r="A7" s="44">
        <v>6</v>
      </c>
      <c r="B7" s="24" t="s">
        <v>99</v>
      </c>
      <c r="C7" s="24"/>
      <c r="D7" s="24">
        <v>29</v>
      </c>
      <c r="E7" s="24">
        <v>1</v>
      </c>
      <c r="F7" s="25">
        <v>2026</v>
      </c>
      <c r="G7" s="25" t="s">
        <v>86</v>
      </c>
      <c r="H7" s="25" t="s">
        <v>106</v>
      </c>
      <c r="I7" s="33" t="s">
        <v>101</v>
      </c>
      <c r="J7" s="25" t="s">
        <v>96</v>
      </c>
      <c r="K7" s="24" t="s">
        <v>90</v>
      </c>
      <c r="L7" s="33" t="s">
        <v>97</v>
      </c>
      <c r="M7" s="26" t="s">
        <v>98</v>
      </c>
      <c r="N7" s="27"/>
      <c r="O7" s="27"/>
      <c r="P7" s="27"/>
      <c r="Q7" s="27"/>
      <c r="R7" s="28" t="str">
        <f t="shared" ref="R7:T7" si="6">IF(U7&gt;0,"Có","Không")</f>
        <v>Không</v>
      </c>
      <c r="S7" s="28" t="str">
        <f t="shared" si="6"/>
        <v>Không</v>
      </c>
      <c r="T7" s="28" t="str">
        <f t="shared" si="6"/>
        <v>Không</v>
      </c>
      <c r="U7" s="29"/>
      <c r="V7" s="29"/>
      <c r="W7" s="29"/>
      <c r="X7" s="30"/>
      <c r="Y7" s="28" t="str">
        <f t="shared" si="1"/>
        <v>Không thực hiện</v>
      </c>
      <c r="Z7" s="31"/>
      <c r="AA7" s="46"/>
      <c r="AB7" s="23"/>
    </row>
    <row r="8" spans="1:28" ht="38" x14ac:dyDescent="0.2">
      <c r="A8" s="44">
        <v>7</v>
      </c>
      <c r="B8" s="24" t="s">
        <v>85</v>
      </c>
      <c r="C8" s="24"/>
      <c r="D8" s="24">
        <v>2</v>
      </c>
      <c r="E8" s="24">
        <v>2</v>
      </c>
      <c r="F8" s="25">
        <v>2026</v>
      </c>
      <c r="G8" s="25" t="s">
        <v>86</v>
      </c>
      <c r="H8" s="25" t="s">
        <v>107</v>
      </c>
      <c r="I8" s="25" t="s">
        <v>108</v>
      </c>
      <c r="J8" s="25" t="s">
        <v>109</v>
      </c>
      <c r="K8" s="24" t="s">
        <v>90</v>
      </c>
      <c r="L8" s="25" t="s">
        <v>91</v>
      </c>
      <c r="M8" s="26" t="s">
        <v>92</v>
      </c>
      <c r="N8" s="27"/>
      <c r="O8" s="27"/>
      <c r="P8" s="27"/>
      <c r="Q8" s="27"/>
      <c r="R8" s="28" t="str">
        <f t="shared" ref="R8:T8" si="7">IF(U8&gt;0,"Có","Không")</f>
        <v>Không</v>
      </c>
      <c r="S8" s="28" t="str">
        <f t="shared" si="7"/>
        <v>Không</v>
      </c>
      <c r="T8" s="28" t="str">
        <f t="shared" si="7"/>
        <v>Không</v>
      </c>
      <c r="U8" s="29"/>
      <c r="V8" s="29"/>
      <c r="W8" s="29"/>
      <c r="X8" s="30"/>
      <c r="Y8" s="28" t="str">
        <f t="shared" si="1"/>
        <v>Không thực hiện</v>
      </c>
      <c r="Z8" s="31"/>
      <c r="AA8" s="46"/>
      <c r="AB8" s="23"/>
    </row>
    <row r="9" spans="1:28" ht="19" x14ac:dyDescent="0.2">
      <c r="A9" s="44">
        <v>8</v>
      </c>
      <c r="B9" s="24" t="s">
        <v>93</v>
      </c>
      <c r="C9" s="24"/>
      <c r="D9" s="24">
        <v>3</v>
      </c>
      <c r="E9" s="24">
        <v>2</v>
      </c>
      <c r="F9" s="25">
        <v>2026</v>
      </c>
      <c r="G9" s="25" t="s">
        <v>86</v>
      </c>
      <c r="H9" s="25" t="s">
        <v>110</v>
      </c>
      <c r="I9" s="25" t="s">
        <v>95</v>
      </c>
      <c r="J9" s="25" t="s">
        <v>105</v>
      </c>
      <c r="K9" s="24" t="s">
        <v>90</v>
      </c>
      <c r="L9" s="33" t="s">
        <v>97</v>
      </c>
      <c r="M9" s="26" t="s">
        <v>98</v>
      </c>
      <c r="N9" s="27"/>
      <c r="O9" s="27"/>
      <c r="P9" s="27"/>
      <c r="Q9" s="27"/>
      <c r="R9" s="28" t="str">
        <f t="shared" ref="R9:T9" si="8">IF(U9&gt;0,"Có","Không")</f>
        <v>Không</v>
      </c>
      <c r="S9" s="28" t="str">
        <f t="shared" si="8"/>
        <v>Không</v>
      </c>
      <c r="T9" s="28" t="str">
        <f t="shared" si="8"/>
        <v>Không</v>
      </c>
      <c r="U9" s="29"/>
      <c r="V9" s="29"/>
      <c r="W9" s="29"/>
      <c r="X9" s="30"/>
      <c r="Y9" s="28" t="str">
        <f t="shared" si="1"/>
        <v>Không thực hiện</v>
      </c>
      <c r="Z9" s="31"/>
      <c r="AA9" s="46"/>
      <c r="AB9" s="23"/>
    </row>
    <row r="10" spans="1:28" ht="38" x14ac:dyDescent="0.2">
      <c r="A10" s="44">
        <v>9</v>
      </c>
      <c r="B10" s="24" t="s">
        <v>85</v>
      </c>
      <c r="C10" s="24"/>
      <c r="D10" s="24">
        <v>9</v>
      </c>
      <c r="E10" s="24">
        <v>2</v>
      </c>
      <c r="F10" s="25">
        <v>2026</v>
      </c>
      <c r="G10" s="25" t="s">
        <v>86</v>
      </c>
      <c r="H10" s="25" t="s">
        <v>111</v>
      </c>
      <c r="I10" s="25" t="s">
        <v>112</v>
      </c>
      <c r="J10" s="25" t="s">
        <v>96</v>
      </c>
      <c r="K10" s="24" t="s">
        <v>90</v>
      </c>
      <c r="L10" s="25" t="s">
        <v>97</v>
      </c>
      <c r="M10" s="26" t="s">
        <v>98</v>
      </c>
      <c r="N10" s="27"/>
      <c r="O10" s="27"/>
      <c r="P10" s="27"/>
      <c r="Q10" s="27"/>
      <c r="R10" s="28" t="str">
        <f t="shared" ref="R10:T10" si="9">IF(U10&gt;0,"Có","Không")</f>
        <v>Không</v>
      </c>
      <c r="S10" s="28" t="str">
        <f t="shared" si="9"/>
        <v>Không</v>
      </c>
      <c r="T10" s="28" t="str">
        <f t="shared" si="9"/>
        <v>Không</v>
      </c>
      <c r="U10" s="29"/>
      <c r="V10" s="29"/>
      <c r="W10" s="29"/>
      <c r="X10" s="30"/>
      <c r="Y10" s="28" t="str">
        <f t="shared" si="1"/>
        <v>Không thực hiện</v>
      </c>
      <c r="Z10" s="31"/>
      <c r="AA10" s="46"/>
      <c r="AB10" s="23"/>
    </row>
    <row r="11" spans="1:28" ht="19" x14ac:dyDescent="0.2">
      <c r="A11" s="44">
        <v>10</v>
      </c>
      <c r="B11" s="24" t="s">
        <v>99</v>
      </c>
      <c r="C11" s="24"/>
      <c r="D11" s="24">
        <v>12</v>
      </c>
      <c r="E11" s="24">
        <v>2</v>
      </c>
      <c r="F11" s="25">
        <v>2026</v>
      </c>
      <c r="G11" s="25" t="s">
        <v>86</v>
      </c>
      <c r="H11" s="25" t="s">
        <v>113</v>
      </c>
      <c r="I11" s="33" t="s">
        <v>101</v>
      </c>
      <c r="J11" s="25" t="s">
        <v>96</v>
      </c>
      <c r="K11" s="24" t="s">
        <v>90</v>
      </c>
      <c r="L11" s="33" t="s">
        <v>97</v>
      </c>
      <c r="M11" s="26" t="s">
        <v>98</v>
      </c>
      <c r="N11" s="32"/>
      <c r="O11" s="32"/>
      <c r="P11" s="32"/>
      <c r="Q11" s="32"/>
      <c r="R11" s="28" t="str">
        <f t="shared" ref="R11:T11" si="10">IF(U11&gt;0,"Có","Không")</f>
        <v>Không</v>
      </c>
      <c r="S11" s="28" t="str">
        <f t="shared" si="10"/>
        <v>Không</v>
      </c>
      <c r="T11" s="28" t="str">
        <f t="shared" si="10"/>
        <v>Không</v>
      </c>
      <c r="U11" s="30"/>
      <c r="V11" s="30"/>
      <c r="W11" s="30"/>
      <c r="X11" s="30"/>
      <c r="Y11" s="28" t="str">
        <f t="shared" si="1"/>
        <v>Không thực hiện</v>
      </c>
      <c r="Z11" s="31"/>
      <c r="AA11" s="46"/>
      <c r="AB11" s="23"/>
    </row>
    <row r="12" spans="1:28" ht="19" x14ac:dyDescent="0.2">
      <c r="A12" s="44">
        <v>11</v>
      </c>
      <c r="B12" s="24" t="s">
        <v>85</v>
      </c>
      <c r="C12" s="24"/>
      <c r="D12" s="24">
        <v>16</v>
      </c>
      <c r="E12" s="24">
        <v>2</v>
      </c>
      <c r="F12" s="25">
        <v>2026</v>
      </c>
      <c r="G12" s="25" t="s">
        <v>86</v>
      </c>
      <c r="H12" s="25" t="s">
        <v>114</v>
      </c>
      <c r="I12" s="25" t="s">
        <v>115</v>
      </c>
      <c r="J12" s="25" t="s">
        <v>109</v>
      </c>
      <c r="K12" s="24" t="s">
        <v>90</v>
      </c>
      <c r="L12" s="25" t="s">
        <v>91</v>
      </c>
      <c r="M12" s="26" t="s">
        <v>92</v>
      </c>
      <c r="N12" s="32"/>
      <c r="O12" s="32"/>
      <c r="P12" s="32"/>
      <c r="Q12" s="32"/>
      <c r="R12" s="28" t="str">
        <f t="shared" ref="R12:T12" si="11">IF(U12&gt;0,"Có","Không")</f>
        <v>Không</v>
      </c>
      <c r="S12" s="28" t="str">
        <f t="shared" si="11"/>
        <v>Không</v>
      </c>
      <c r="T12" s="28" t="str">
        <f t="shared" si="11"/>
        <v>Không</v>
      </c>
      <c r="U12" s="30"/>
      <c r="V12" s="30"/>
      <c r="W12" s="30"/>
      <c r="X12" s="30"/>
      <c r="Y12" s="28" t="str">
        <f t="shared" si="1"/>
        <v>Không thực hiện</v>
      </c>
      <c r="Z12" s="31"/>
      <c r="AA12" s="46"/>
      <c r="AB12" s="23"/>
    </row>
    <row r="13" spans="1:28" ht="19" x14ac:dyDescent="0.2">
      <c r="A13" s="44">
        <v>12</v>
      </c>
      <c r="B13" s="24" t="s">
        <v>99</v>
      </c>
      <c r="C13" s="24"/>
      <c r="D13" s="24">
        <v>26</v>
      </c>
      <c r="E13" s="24">
        <v>2</v>
      </c>
      <c r="F13" s="25">
        <v>2026</v>
      </c>
      <c r="G13" s="25" t="s">
        <v>86</v>
      </c>
      <c r="H13" s="25" t="s">
        <v>116</v>
      </c>
      <c r="I13" s="25" t="s">
        <v>117</v>
      </c>
      <c r="J13" s="25" t="s">
        <v>118</v>
      </c>
      <c r="K13" s="24" t="s">
        <v>90</v>
      </c>
      <c r="L13" s="25" t="s">
        <v>97</v>
      </c>
      <c r="M13" s="26" t="s">
        <v>98</v>
      </c>
      <c r="N13" s="32"/>
      <c r="O13" s="32"/>
      <c r="P13" s="32"/>
      <c r="Q13" s="32"/>
      <c r="R13" s="28" t="str">
        <f t="shared" ref="R13:T13" si="12">IF(U13&gt;0,"Có","Không")</f>
        <v>Không</v>
      </c>
      <c r="S13" s="28" t="str">
        <f t="shared" si="12"/>
        <v>Không</v>
      </c>
      <c r="T13" s="28" t="str">
        <f t="shared" si="12"/>
        <v>Không</v>
      </c>
      <c r="U13" s="30"/>
      <c r="V13" s="30"/>
      <c r="W13" s="30"/>
      <c r="X13" s="30"/>
      <c r="Y13" s="28" t="str">
        <f t="shared" si="1"/>
        <v>Không thực hiện</v>
      </c>
      <c r="Z13" s="31"/>
      <c r="AA13" s="46"/>
      <c r="AB13" s="23"/>
    </row>
    <row r="14" spans="1:28" ht="19" x14ac:dyDescent="0.2">
      <c r="A14" s="44">
        <v>13</v>
      </c>
      <c r="B14" s="24" t="s">
        <v>85</v>
      </c>
      <c r="C14" s="24"/>
      <c r="D14" s="24">
        <v>2</v>
      </c>
      <c r="E14" s="24">
        <v>3</v>
      </c>
      <c r="F14" s="25">
        <v>2026</v>
      </c>
      <c r="G14" s="25" t="s">
        <v>86</v>
      </c>
      <c r="H14" s="25" t="s">
        <v>119</v>
      </c>
      <c r="I14" s="25" t="s">
        <v>120</v>
      </c>
      <c r="J14" s="25" t="s">
        <v>89</v>
      </c>
      <c r="K14" s="24" t="s">
        <v>90</v>
      </c>
      <c r="L14" s="25" t="s">
        <v>91</v>
      </c>
      <c r="M14" s="26" t="s">
        <v>92</v>
      </c>
      <c r="N14" s="32"/>
      <c r="O14" s="32"/>
      <c r="P14" s="32"/>
      <c r="Q14" s="32"/>
      <c r="R14" s="28" t="str">
        <f t="shared" ref="R14:T14" si="13">IF(U14&gt;0,"Có","Không")</f>
        <v>Không</v>
      </c>
      <c r="S14" s="28" t="str">
        <f t="shared" si="13"/>
        <v>Không</v>
      </c>
      <c r="T14" s="28" t="str">
        <f t="shared" si="13"/>
        <v>Không</v>
      </c>
      <c r="U14" s="30"/>
      <c r="V14" s="30"/>
      <c r="W14" s="30"/>
      <c r="X14" s="30"/>
      <c r="Y14" s="28" t="str">
        <f t="shared" si="1"/>
        <v>Không thực hiện</v>
      </c>
      <c r="Z14" s="31"/>
      <c r="AA14" s="46"/>
      <c r="AB14" s="23"/>
    </row>
    <row r="15" spans="1:28" ht="19" x14ac:dyDescent="0.2">
      <c r="A15" s="44">
        <v>14</v>
      </c>
      <c r="B15" s="24" t="s">
        <v>99</v>
      </c>
      <c r="C15" s="24"/>
      <c r="D15" s="24">
        <v>12</v>
      </c>
      <c r="E15" s="24">
        <v>3</v>
      </c>
      <c r="F15" s="25">
        <v>2026</v>
      </c>
      <c r="G15" s="25" t="s">
        <v>86</v>
      </c>
      <c r="H15" s="25" t="s">
        <v>121</v>
      </c>
      <c r="I15" s="25" t="s">
        <v>101</v>
      </c>
      <c r="J15" s="25" t="s">
        <v>96</v>
      </c>
      <c r="K15" s="24" t="s">
        <v>90</v>
      </c>
      <c r="L15" s="33" t="s">
        <v>97</v>
      </c>
      <c r="M15" s="26" t="s">
        <v>98</v>
      </c>
      <c r="N15" s="32"/>
      <c r="O15" s="32"/>
      <c r="P15" s="32"/>
      <c r="Q15" s="32"/>
      <c r="R15" s="28" t="str">
        <f t="shared" ref="R15:T15" si="14">IF(U15&gt;0,"Có","Không")</f>
        <v>Không</v>
      </c>
      <c r="S15" s="28" t="str">
        <f t="shared" si="14"/>
        <v>Không</v>
      </c>
      <c r="T15" s="28" t="str">
        <f t="shared" si="14"/>
        <v>Không</v>
      </c>
      <c r="U15" s="30"/>
      <c r="V15" s="30"/>
      <c r="W15" s="30"/>
      <c r="X15" s="30"/>
      <c r="Y15" s="28" t="str">
        <f t="shared" si="1"/>
        <v>Không thực hiện</v>
      </c>
      <c r="Z15" s="31"/>
      <c r="AA15" s="46"/>
      <c r="AB15" s="23"/>
    </row>
    <row r="16" spans="1:28" ht="38" x14ac:dyDescent="0.2">
      <c r="A16" s="44">
        <v>15</v>
      </c>
      <c r="B16" s="24" t="s">
        <v>85</v>
      </c>
      <c r="C16" s="24"/>
      <c r="D16" s="24">
        <v>16</v>
      </c>
      <c r="E16" s="24">
        <v>3</v>
      </c>
      <c r="F16" s="25">
        <v>2026</v>
      </c>
      <c r="G16" s="25" t="s">
        <v>86</v>
      </c>
      <c r="H16" s="25" t="s">
        <v>122</v>
      </c>
      <c r="I16" s="25" t="s">
        <v>123</v>
      </c>
      <c r="J16" s="25" t="s">
        <v>109</v>
      </c>
      <c r="K16" s="24" t="s">
        <v>90</v>
      </c>
      <c r="L16" s="25" t="s">
        <v>91</v>
      </c>
      <c r="M16" s="26" t="s">
        <v>92</v>
      </c>
      <c r="N16" s="32"/>
      <c r="O16" s="32"/>
      <c r="P16" s="32"/>
      <c r="Q16" s="32"/>
      <c r="R16" s="28" t="str">
        <f t="shared" ref="R16:T16" si="15">IF(U16&gt;0,"Có","Không")</f>
        <v>Không</v>
      </c>
      <c r="S16" s="28" t="str">
        <f t="shared" si="15"/>
        <v>Không</v>
      </c>
      <c r="T16" s="28" t="str">
        <f t="shared" si="15"/>
        <v>Không</v>
      </c>
      <c r="U16" s="30"/>
      <c r="V16" s="30"/>
      <c r="W16" s="30"/>
      <c r="X16" s="30"/>
      <c r="Y16" s="28" t="str">
        <f t="shared" si="1"/>
        <v>Không thực hiện</v>
      </c>
      <c r="Z16" s="31"/>
      <c r="AA16" s="46"/>
      <c r="AB16" s="23"/>
    </row>
    <row r="17" spans="1:28" ht="48" x14ac:dyDescent="0.2">
      <c r="A17" s="44">
        <v>16</v>
      </c>
      <c r="B17" s="24" t="s">
        <v>99</v>
      </c>
      <c r="C17" s="24"/>
      <c r="D17" s="24">
        <v>26</v>
      </c>
      <c r="E17" s="24">
        <v>3</v>
      </c>
      <c r="F17" s="25">
        <v>2026</v>
      </c>
      <c r="G17" s="25" t="s">
        <v>86</v>
      </c>
      <c r="H17" s="25" t="s">
        <v>124</v>
      </c>
      <c r="I17" s="25" t="s">
        <v>125</v>
      </c>
      <c r="J17" s="25" t="s">
        <v>96</v>
      </c>
      <c r="K17" s="24" t="s">
        <v>90</v>
      </c>
      <c r="L17" s="25" t="s">
        <v>97</v>
      </c>
      <c r="M17" s="26" t="s">
        <v>98</v>
      </c>
      <c r="N17" s="32"/>
      <c r="O17" s="32"/>
      <c r="P17" s="32"/>
      <c r="Q17" s="32"/>
      <c r="R17" s="28" t="str">
        <f t="shared" ref="R17:T17" si="16">IF(U17&gt;0,"Có","Không")</f>
        <v>Có</v>
      </c>
      <c r="S17" s="28" t="str">
        <f t="shared" si="16"/>
        <v>Có</v>
      </c>
      <c r="T17" s="28" t="str">
        <f t="shared" si="16"/>
        <v>Có</v>
      </c>
      <c r="U17" s="34" t="s">
        <v>126</v>
      </c>
      <c r="V17" s="30" t="s">
        <v>127</v>
      </c>
      <c r="W17" s="30" t="s">
        <v>128</v>
      </c>
      <c r="X17" s="30"/>
      <c r="Y17" s="28" t="str">
        <f t="shared" si="1"/>
        <v>Thực hiện</v>
      </c>
      <c r="Z17" s="31"/>
      <c r="AA17" s="46"/>
      <c r="AB17" s="23"/>
    </row>
    <row r="18" spans="1:28" ht="38" x14ac:dyDescent="0.2">
      <c r="A18" s="44">
        <v>17</v>
      </c>
      <c r="B18" s="24" t="s">
        <v>85</v>
      </c>
      <c r="C18" s="24"/>
      <c r="D18" s="24">
        <v>30</v>
      </c>
      <c r="E18" s="24">
        <v>3</v>
      </c>
      <c r="F18" s="25">
        <v>2026</v>
      </c>
      <c r="G18" s="25" t="s">
        <v>86</v>
      </c>
      <c r="H18" s="25" t="s">
        <v>129</v>
      </c>
      <c r="I18" s="25" t="s">
        <v>91</v>
      </c>
      <c r="J18" s="25" t="s">
        <v>109</v>
      </c>
      <c r="K18" s="24" t="s">
        <v>90</v>
      </c>
      <c r="L18" s="25" t="s">
        <v>91</v>
      </c>
      <c r="M18" s="26" t="s">
        <v>92</v>
      </c>
      <c r="N18" s="32"/>
      <c r="O18" s="32"/>
      <c r="P18" s="32"/>
      <c r="Q18" s="32"/>
      <c r="R18" s="28" t="str">
        <f t="shared" ref="R18:T18" si="17">IF(U18&gt;0,"Có","Không")</f>
        <v>Không</v>
      </c>
      <c r="S18" s="28" t="str">
        <f t="shared" si="17"/>
        <v>Không</v>
      </c>
      <c r="T18" s="28" t="str">
        <f t="shared" si="17"/>
        <v>Không</v>
      </c>
      <c r="U18" s="30"/>
      <c r="V18" s="30"/>
      <c r="W18" s="30"/>
      <c r="X18" s="30"/>
      <c r="Y18" s="28" t="str">
        <f t="shared" si="1"/>
        <v>Không thực hiện</v>
      </c>
      <c r="Z18" s="31"/>
      <c r="AA18" s="46"/>
      <c r="AB18" s="23"/>
    </row>
    <row r="19" spans="1:28" ht="48" x14ac:dyDescent="0.2">
      <c r="A19" s="44">
        <v>18</v>
      </c>
      <c r="B19" s="24" t="s">
        <v>99</v>
      </c>
      <c r="C19" s="24"/>
      <c r="D19" s="24">
        <v>9</v>
      </c>
      <c r="E19" s="24">
        <v>4</v>
      </c>
      <c r="F19" s="25">
        <v>2026</v>
      </c>
      <c r="G19" s="25" t="s">
        <v>86</v>
      </c>
      <c r="H19" s="25" t="s">
        <v>130</v>
      </c>
      <c r="I19" s="25" t="s">
        <v>125</v>
      </c>
      <c r="J19" s="25" t="s">
        <v>96</v>
      </c>
      <c r="K19" s="24" t="s">
        <v>90</v>
      </c>
      <c r="L19" s="25" t="s">
        <v>97</v>
      </c>
      <c r="M19" s="26" t="s">
        <v>98</v>
      </c>
      <c r="N19" s="32"/>
      <c r="O19" s="32"/>
      <c r="P19" s="32"/>
      <c r="Q19" s="32"/>
      <c r="R19" s="28" t="str">
        <f t="shared" ref="R19:T19" si="18">IF(U19&gt;0,"Có","Không")</f>
        <v>Có</v>
      </c>
      <c r="S19" s="28" t="str">
        <f t="shared" si="18"/>
        <v>Không</v>
      </c>
      <c r="T19" s="28" t="str">
        <f t="shared" si="18"/>
        <v>Có</v>
      </c>
      <c r="U19" s="34" t="s">
        <v>131</v>
      </c>
      <c r="V19" s="30"/>
      <c r="W19" s="30" t="s">
        <v>127</v>
      </c>
      <c r="X19" s="30"/>
      <c r="Y19" s="28" t="str">
        <f t="shared" si="1"/>
        <v>Thực hiện</v>
      </c>
      <c r="Z19" s="31"/>
      <c r="AA19" s="46"/>
      <c r="AB19" s="23"/>
    </row>
    <row r="20" spans="1:28" ht="38" x14ac:dyDescent="0.2">
      <c r="A20" s="44">
        <v>19</v>
      </c>
      <c r="B20" s="24" t="s">
        <v>85</v>
      </c>
      <c r="C20" s="24"/>
      <c r="D20" s="24">
        <v>13</v>
      </c>
      <c r="E20" s="24">
        <v>4</v>
      </c>
      <c r="F20" s="25">
        <v>2026</v>
      </c>
      <c r="G20" s="25" t="s">
        <v>86</v>
      </c>
      <c r="H20" s="25" t="s">
        <v>132</v>
      </c>
      <c r="I20" s="25" t="s">
        <v>91</v>
      </c>
      <c r="J20" s="25" t="s">
        <v>109</v>
      </c>
      <c r="K20" s="24" t="s">
        <v>90</v>
      </c>
      <c r="L20" s="25" t="s">
        <v>91</v>
      </c>
      <c r="M20" s="26" t="s">
        <v>92</v>
      </c>
      <c r="N20" s="32"/>
      <c r="O20" s="32"/>
      <c r="P20" s="32"/>
      <c r="Q20" s="32"/>
      <c r="R20" s="28" t="str">
        <f t="shared" ref="R20:T20" si="19">IF(U20&gt;0,"Có","Không")</f>
        <v>Không</v>
      </c>
      <c r="S20" s="28" t="str">
        <f t="shared" si="19"/>
        <v>Không</v>
      </c>
      <c r="T20" s="28" t="str">
        <f t="shared" si="19"/>
        <v>Không</v>
      </c>
      <c r="U20" s="30"/>
      <c r="V20" s="30"/>
      <c r="W20" s="30"/>
      <c r="X20" s="30"/>
      <c r="Y20" s="28" t="str">
        <f t="shared" si="1"/>
        <v>Không thực hiện</v>
      </c>
      <c r="Z20" s="31"/>
      <c r="AA20" s="46"/>
      <c r="AB20" s="23"/>
    </row>
    <row r="21" spans="1:28" ht="48" x14ac:dyDescent="0.2">
      <c r="A21" s="44">
        <v>20</v>
      </c>
      <c r="B21" s="24" t="s">
        <v>99</v>
      </c>
      <c r="C21" s="24"/>
      <c r="D21" s="24">
        <v>23</v>
      </c>
      <c r="E21" s="24">
        <v>4</v>
      </c>
      <c r="F21" s="25">
        <v>2026</v>
      </c>
      <c r="G21" s="25" t="s">
        <v>86</v>
      </c>
      <c r="H21" s="25" t="s">
        <v>133</v>
      </c>
      <c r="I21" s="25" t="s">
        <v>134</v>
      </c>
      <c r="J21" s="25" t="s">
        <v>96</v>
      </c>
      <c r="K21" s="24" t="s">
        <v>90</v>
      </c>
      <c r="L21" s="25" t="s">
        <v>97</v>
      </c>
      <c r="M21" s="26" t="s">
        <v>98</v>
      </c>
      <c r="N21" s="32"/>
      <c r="O21" s="32"/>
      <c r="P21" s="32"/>
      <c r="Q21" s="32"/>
      <c r="R21" s="28" t="str">
        <f t="shared" ref="R21:T21" si="20">IF(U21&gt;0,"Có","Không")</f>
        <v>Không</v>
      </c>
      <c r="S21" s="28" t="str">
        <f t="shared" si="20"/>
        <v>Không</v>
      </c>
      <c r="T21" s="28" t="str">
        <f t="shared" si="20"/>
        <v>Không</v>
      </c>
      <c r="U21" s="30"/>
      <c r="V21" s="30"/>
      <c r="W21" s="30"/>
      <c r="X21" s="30"/>
      <c r="Y21" s="28" t="str">
        <f t="shared" si="1"/>
        <v>Không thực hiện</v>
      </c>
      <c r="Z21" s="31"/>
      <c r="AA21" s="46" t="s">
        <v>135</v>
      </c>
      <c r="AB21" s="23"/>
    </row>
    <row r="22" spans="1:28" ht="19" x14ac:dyDescent="0.2">
      <c r="A22" s="44">
        <v>21</v>
      </c>
      <c r="B22" s="24" t="s">
        <v>85</v>
      </c>
      <c r="C22" s="24"/>
      <c r="D22" s="24">
        <v>27</v>
      </c>
      <c r="E22" s="24">
        <v>4</v>
      </c>
      <c r="F22" s="25">
        <v>2026</v>
      </c>
      <c r="G22" s="25" t="s">
        <v>86</v>
      </c>
      <c r="H22" s="25" t="s">
        <v>136</v>
      </c>
      <c r="I22" s="25" t="s">
        <v>137</v>
      </c>
      <c r="J22" s="25" t="s">
        <v>109</v>
      </c>
      <c r="K22" s="24" t="s">
        <v>90</v>
      </c>
      <c r="L22" s="25" t="s">
        <v>91</v>
      </c>
      <c r="M22" s="26" t="s">
        <v>92</v>
      </c>
      <c r="N22" s="32"/>
      <c r="O22" s="32"/>
      <c r="P22" s="32"/>
      <c r="Q22" s="32"/>
      <c r="R22" s="28" t="str">
        <f t="shared" ref="R22:T22" si="21">IF(U22&gt;0,"Có","Không")</f>
        <v>Không</v>
      </c>
      <c r="S22" s="28" t="str">
        <f t="shared" si="21"/>
        <v>Không</v>
      </c>
      <c r="T22" s="28" t="str">
        <f t="shared" si="21"/>
        <v>Không</v>
      </c>
      <c r="U22" s="30"/>
      <c r="V22" s="30"/>
      <c r="W22" s="30"/>
      <c r="X22" s="30"/>
      <c r="Y22" s="28" t="str">
        <f t="shared" si="1"/>
        <v>Không thực hiện</v>
      </c>
      <c r="Z22" s="31"/>
      <c r="AA22" s="46"/>
      <c r="AB22" s="23"/>
    </row>
    <row r="23" spans="1:28" ht="48" x14ac:dyDescent="0.2">
      <c r="A23" s="44">
        <v>22</v>
      </c>
      <c r="B23" s="24" t="s">
        <v>99</v>
      </c>
      <c r="C23" s="24"/>
      <c r="D23" s="24">
        <v>7</v>
      </c>
      <c r="E23" s="24">
        <v>5</v>
      </c>
      <c r="F23" s="25">
        <v>2026</v>
      </c>
      <c r="G23" s="25" t="s">
        <v>86</v>
      </c>
      <c r="H23" s="25" t="s">
        <v>138</v>
      </c>
      <c r="I23" s="25" t="s">
        <v>125</v>
      </c>
      <c r="J23" s="25" t="s">
        <v>96</v>
      </c>
      <c r="K23" s="24" t="s">
        <v>90</v>
      </c>
      <c r="L23" s="25" t="s">
        <v>97</v>
      </c>
      <c r="M23" s="26" t="s">
        <v>98</v>
      </c>
      <c r="N23" s="32"/>
      <c r="O23" s="32"/>
      <c r="P23" s="32"/>
      <c r="Q23" s="32"/>
      <c r="R23" s="28" t="str">
        <f t="shared" ref="R23:T23" si="22">IF(U23&gt;0,"Có","Không")</f>
        <v>Có</v>
      </c>
      <c r="S23" s="28" t="str">
        <f t="shared" si="22"/>
        <v>Không</v>
      </c>
      <c r="T23" s="28" t="str">
        <f t="shared" si="22"/>
        <v>Có</v>
      </c>
      <c r="U23" s="34" t="s">
        <v>139</v>
      </c>
      <c r="V23" s="30"/>
      <c r="W23" s="30" t="s">
        <v>127</v>
      </c>
      <c r="X23" s="30"/>
      <c r="Y23" s="28" t="str">
        <f t="shared" si="1"/>
        <v>Thực hiện</v>
      </c>
      <c r="Z23" s="31"/>
      <c r="AA23" s="46"/>
      <c r="AB23" s="23"/>
    </row>
    <row r="24" spans="1:28" ht="38" x14ac:dyDescent="0.2">
      <c r="A24" s="44">
        <v>23</v>
      </c>
      <c r="B24" s="24" t="s">
        <v>85</v>
      </c>
      <c r="C24" s="24"/>
      <c r="D24" s="24">
        <v>8</v>
      </c>
      <c r="E24" s="24">
        <v>5</v>
      </c>
      <c r="F24" s="25">
        <v>2026</v>
      </c>
      <c r="G24" s="25" t="s">
        <v>86</v>
      </c>
      <c r="H24" s="25" t="s">
        <v>140</v>
      </c>
      <c r="I24" s="25" t="s">
        <v>137</v>
      </c>
      <c r="J24" s="25" t="s">
        <v>109</v>
      </c>
      <c r="K24" s="24" t="s">
        <v>90</v>
      </c>
      <c r="L24" s="25" t="s">
        <v>91</v>
      </c>
      <c r="M24" s="26" t="s">
        <v>92</v>
      </c>
      <c r="N24" s="32"/>
      <c r="O24" s="32"/>
      <c r="P24" s="32"/>
      <c r="Q24" s="32"/>
      <c r="R24" s="28" t="str">
        <f t="shared" ref="R24:T24" si="23">IF(U24&gt;0,"Có","Không")</f>
        <v>Không</v>
      </c>
      <c r="S24" s="28" t="str">
        <f t="shared" si="23"/>
        <v>Không</v>
      </c>
      <c r="T24" s="28" t="str">
        <f t="shared" si="23"/>
        <v>Không</v>
      </c>
      <c r="U24" s="30"/>
      <c r="V24" s="30"/>
      <c r="W24" s="30"/>
      <c r="X24" s="30"/>
      <c r="Y24" s="28" t="str">
        <f t="shared" si="1"/>
        <v>Không thực hiện</v>
      </c>
      <c r="Z24" s="31"/>
      <c r="AA24" s="47" t="s">
        <v>141</v>
      </c>
      <c r="AB24" s="23"/>
    </row>
    <row r="25" spans="1:28" ht="112" x14ac:dyDescent="0.2">
      <c r="A25" s="44">
        <v>24</v>
      </c>
      <c r="B25" s="24" t="s">
        <v>99</v>
      </c>
      <c r="C25" s="24"/>
      <c r="D25" s="24">
        <v>14</v>
      </c>
      <c r="E25" s="24">
        <v>5</v>
      </c>
      <c r="F25" s="25">
        <v>2026</v>
      </c>
      <c r="G25" s="25" t="s">
        <v>86</v>
      </c>
      <c r="H25" s="25" t="s">
        <v>142</v>
      </c>
      <c r="I25" s="25" t="s">
        <v>112</v>
      </c>
      <c r="J25" s="25" t="s">
        <v>96</v>
      </c>
      <c r="K25" s="24" t="s">
        <v>90</v>
      </c>
      <c r="L25" s="25" t="s">
        <v>97</v>
      </c>
      <c r="M25" s="26" t="s">
        <v>143</v>
      </c>
      <c r="N25" s="32"/>
      <c r="O25" s="32"/>
      <c r="P25" s="32"/>
      <c r="Q25" s="32"/>
      <c r="R25" s="28" t="str">
        <f t="shared" ref="R25:T25" si="24">IF(U25&gt;0,"Có","Không")</f>
        <v>Có</v>
      </c>
      <c r="S25" s="28" t="str">
        <f t="shared" si="24"/>
        <v>Có</v>
      </c>
      <c r="T25" s="28" t="str">
        <f t="shared" si="24"/>
        <v>Có</v>
      </c>
      <c r="U25" s="35" t="s">
        <v>144</v>
      </c>
      <c r="V25" s="35" t="s">
        <v>145</v>
      </c>
      <c r="W25" s="36" t="s">
        <v>146</v>
      </c>
      <c r="X25" s="30"/>
      <c r="Y25" s="28" t="str">
        <f t="shared" si="1"/>
        <v>Thực hiện</v>
      </c>
      <c r="Z25" s="31"/>
      <c r="AA25" s="46"/>
      <c r="AB25" s="23"/>
    </row>
    <row r="26" spans="1:28" ht="54" x14ac:dyDescent="0.2">
      <c r="A26" s="44">
        <v>25</v>
      </c>
      <c r="B26" s="24" t="s">
        <v>147</v>
      </c>
      <c r="C26" s="24"/>
      <c r="D26" s="24">
        <v>15</v>
      </c>
      <c r="E26" s="24">
        <v>5</v>
      </c>
      <c r="F26" s="25">
        <v>2026</v>
      </c>
      <c r="G26" s="25" t="s">
        <v>86</v>
      </c>
      <c r="H26" s="25" t="s">
        <v>148</v>
      </c>
      <c r="I26" s="25" t="s">
        <v>149</v>
      </c>
      <c r="J26" s="25" t="s">
        <v>96</v>
      </c>
      <c r="K26" s="24" t="s">
        <v>90</v>
      </c>
      <c r="L26" s="25" t="s">
        <v>150</v>
      </c>
      <c r="M26" s="26" t="s">
        <v>151</v>
      </c>
      <c r="N26" s="32"/>
      <c r="O26" s="32"/>
      <c r="P26" s="32"/>
      <c r="Q26" s="32"/>
      <c r="R26" s="28" t="str">
        <f t="shared" ref="R26:T26" si="25">IF(U26&gt;0,"Có","Không")</f>
        <v>Có</v>
      </c>
      <c r="S26" s="28" t="str">
        <f t="shared" si="25"/>
        <v>Không</v>
      </c>
      <c r="T26" s="28" t="str">
        <f t="shared" si="25"/>
        <v>Có</v>
      </c>
      <c r="U26" s="37" t="s">
        <v>152</v>
      </c>
      <c r="V26" s="30"/>
      <c r="W26" s="34" t="s">
        <v>153</v>
      </c>
      <c r="X26" s="30"/>
      <c r="Y26" s="28" t="s">
        <v>154</v>
      </c>
      <c r="Z26" s="31"/>
      <c r="AA26" s="46"/>
      <c r="AB26" s="23"/>
    </row>
    <row r="27" spans="1:28" ht="53.25" customHeight="1" x14ac:dyDescent="0.2">
      <c r="A27" s="44">
        <v>26</v>
      </c>
      <c r="B27" s="24" t="s">
        <v>147</v>
      </c>
      <c r="C27" s="24"/>
      <c r="D27" s="24">
        <v>15</v>
      </c>
      <c r="E27" s="24">
        <v>5</v>
      </c>
      <c r="F27" s="24">
        <v>2026</v>
      </c>
      <c r="G27" s="25" t="s">
        <v>86</v>
      </c>
      <c r="H27" s="38" t="s">
        <v>155</v>
      </c>
      <c r="I27" s="25" t="s">
        <v>156</v>
      </c>
      <c r="J27" s="25" t="s">
        <v>96</v>
      </c>
      <c r="K27" s="24" t="s">
        <v>90</v>
      </c>
      <c r="L27" s="25" t="s">
        <v>150</v>
      </c>
      <c r="M27" s="26" t="s">
        <v>151</v>
      </c>
      <c r="N27" s="32"/>
      <c r="O27" s="32"/>
      <c r="P27" s="32"/>
      <c r="Q27" s="32"/>
      <c r="R27" s="28" t="str">
        <f t="shared" ref="R27:T27" si="26">IF(U27&gt;0,"Có","Không")</f>
        <v>Có</v>
      </c>
      <c r="S27" s="28" t="str">
        <f t="shared" si="26"/>
        <v>Không</v>
      </c>
      <c r="T27" s="28" t="str">
        <f t="shared" si="26"/>
        <v>Có</v>
      </c>
      <c r="U27" s="39" t="s">
        <v>157</v>
      </c>
      <c r="V27" s="30"/>
      <c r="W27" s="36" t="s">
        <v>158</v>
      </c>
      <c r="X27" s="30"/>
      <c r="Y27" s="28" t="s">
        <v>154</v>
      </c>
      <c r="Z27" s="31"/>
      <c r="AA27" s="46"/>
      <c r="AB27" s="23"/>
    </row>
    <row r="28" spans="1:28" ht="96" x14ac:dyDescent="0.2">
      <c r="A28" s="44">
        <v>27</v>
      </c>
      <c r="B28" s="24" t="s">
        <v>85</v>
      </c>
      <c r="C28" s="24"/>
      <c r="D28" s="24">
        <v>18</v>
      </c>
      <c r="E28" s="24">
        <v>5</v>
      </c>
      <c r="F28" s="25"/>
      <c r="G28" s="25" t="s">
        <v>86</v>
      </c>
      <c r="H28" s="25" t="s">
        <v>159</v>
      </c>
      <c r="I28" s="25" t="s">
        <v>160</v>
      </c>
      <c r="J28" s="25" t="s">
        <v>109</v>
      </c>
      <c r="K28" s="24" t="s">
        <v>90</v>
      </c>
      <c r="L28" s="25" t="s">
        <v>91</v>
      </c>
      <c r="M28" s="26" t="s">
        <v>92</v>
      </c>
      <c r="N28" s="32"/>
      <c r="O28" s="32"/>
      <c r="P28" s="32"/>
      <c r="Q28" s="32"/>
      <c r="R28" s="28" t="str">
        <f t="shared" ref="R28:T28" si="27">IF(U28&gt;0,"Có","Không")</f>
        <v>Có</v>
      </c>
      <c r="S28" s="28" t="str">
        <f t="shared" si="27"/>
        <v>Có</v>
      </c>
      <c r="T28" s="28" t="str">
        <f t="shared" si="27"/>
        <v>Có</v>
      </c>
      <c r="U28" s="36" t="s">
        <v>161</v>
      </c>
      <c r="V28" s="39" t="s">
        <v>162</v>
      </c>
      <c r="W28" s="36" t="s">
        <v>163</v>
      </c>
      <c r="X28" s="30"/>
      <c r="Y28" s="28" t="str">
        <f>IF(COUNTA(U28:W28)&gt;0,"Thực hiện","Không thực hiện")</f>
        <v>Thực hiện</v>
      </c>
      <c r="Z28" s="31"/>
      <c r="AA28" s="46"/>
      <c r="AB28" s="23"/>
    </row>
    <row r="29" spans="1:28" ht="19" x14ac:dyDescent="0.2">
      <c r="A29" s="44">
        <v>28</v>
      </c>
      <c r="B29" s="24" t="s">
        <v>164</v>
      </c>
      <c r="C29" s="24"/>
      <c r="D29" s="24">
        <v>20</v>
      </c>
      <c r="E29" s="24">
        <v>5</v>
      </c>
      <c r="F29" s="25"/>
      <c r="G29" s="25" t="s">
        <v>86</v>
      </c>
      <c r="H29" s="25" t="s">
        <v>165</v>
      </c>
      <c r="I29" s="25" t="s">
        <v>97</v>
      </c>
      <c r="J29" s="25" t="s">
        <v>96</v>
      </c>
      <c r="K29" s="24" t="s">
        <v>166</v>
      </c>
      <c r="L29" s="25"/>
      <c r="M29" s="26" t="s">
        <v>98</v>
      </c>
      <c r="N29" s="32"/>
      <c r="O29" s="32"/>
      <c r="P29" s="32"/>
      <c r="Q29" s="32"/>
      <c r="R29" s="28" t="str">
        <f t="shared" ref="R29:T29" si="28">IF(U29&gt;0,"Có","Không")</f>
        <v>Không</v>
      </c>
      <c r="S29" s="28" t="str">
        <f t="shared" si="28"/>
        <v>Không</v>
      </c>
      <c r="T29" s="28" t="str">
        <f t="shared" si="28"/>
        <v>Không</v>
      </c>
      <c r="U29" s="30"/>
      <c r="V29" s="30"/>
      <c r="W29" s="30"/>
      <c r="X29" s="30"/>
      <c r="Y29" s="28"/>
      <c r="Z29" s="31"/>
      <c r="AA29" s="46"/>
      <c r="AB29" s="23"/>
    </row>
    <row r="30" spans="1:28" ht="19" x14ac:dyDescent="0.2">
      <c r="A30" s="44">
        <v>29</v>
      </c>
      <c r="B30" s="24" t="s">
        <v>99</v>
      </c>
      <c r="C30" s="24"/>
      <c r="D30" s="24">
        <v>25</v>
      </c>
      <c r="E30" s="24">
        <v>5</v>
      </c>
      <c r="F30" s="25"/>
      <c r="G30" s="25" t="s">
        <v>86</v>
      </c>
      <c r="H30" s="25" t="s">
        <v>167</v>
      </c>
      <c r="I30" s="25" t="s">
        <v>112</v>
      </c>
      <c r="J30" s="25" t="s">
        <v>96</v>
      </c>
      <c r="K30" s="24" t="s">
        <v>90</v>
      </c>
      <c r="L30" s="33" t="s">
        <v>97</v>
      </c>
      <c r="M30" s="26" t="s">
        <v>98</v>
      </c>
      <c r="N30" s="32"/>
      <c r="O30" s="32"/>
      <c r="P30" s="32"/>
      <c r="Q30" s="32"/>
      <c r="R30" s="28" t="str">
        <f t="shared" ref="R30:T30" si="29">IF(U30&gt;0,"Có","Không")</f>
        <v>Không</v>
      </c>
      <c r="S30" s="28" t="str">
        <f t="shared" si="29"/>
        <v>Không</v>
      </c>
      <c r="T30" s="28" t="str">
        <f t="shared" si="29"/>
        <v>Không</v>
      </c>
      <c r="U30" s="30"/>
      <c r="V30" s="30"/>
      <c r="W30" s="30"/>
      <c r="X30" s="30"/>
      <c r="Y30" s="28" t="str">
        <f t="shared" ref="Y30:Y65" si="30">IF(COUNTA(U30:W30)&gt;0,"Thực hiện","Không thực hiện")</f>
        <v>Không thực hiện</v>
      </c>
      <c r="Z30" s="31"/>
      <c r="AA30" s="46"/>
      <c r="AB30" s="23"/>
    </row>
    <row r="31" spans="1:28" ht="38" x14ac:dyDescent="0.2">
      <c r="A31" s="44">
        <v>27</v>
      </c>
      <c r="B31" s="24" t="s">
        <v>85</v>
      </c>
      <c r="C31" s="24"/>
      <c r="D31" s="24">
        <v>1</v>
      </c>
      <c r="E31" s="24">
        <v>6</v>
      </c>
      <c r="F31" s="25"/>
      <c r="G31" s="25" t="s">
        <v>86</v>
      </c>
      <c r="H31" s="25" t="s">
        <v>168</v>
      </c>
      <c r="I31" s="25" t="s">
        <v>160</v>
      </c>
      <c r="J31" s="25" t="s">
        <v>109</v>
      </c>
      <c r="K31" s="24" t="s">
        <v>90</v>
      </c>
      <c r="L31" s="25" t="s">
        <v>91</v>
      </c>
      <c r="M31" s="26" t="s">
        <v>92</v>
      </c>
      <c r="N31" s="32"/>
      <c r="O31" s="32"/>
      <c r="P31" s="32"/>
      <c r="Q31" s="32"/>
      <c r="R31" s="28" t="str">
        <f t="shared" ref="R31:T31" si="31">IF(U31&gt;0,"Có","Không")</f>
        <v>Không</v>
      </c>
      <c r="S31" s="28" t="str">
        <f t="shared" si="31"/>
        <v>Không</v>
      </c>
      <c r="T31" s="28" t="str">
        <f t="shared" si="31"/>
        <v>Không</v>
      </c>
      <c r="U31" s="30"/>
      <c r="V31" s="30"/>
      <c r="W31" s="30"/>
      <c r="X31" s="30"/>
      <c r="Y31" s="28" t="str">
        <f t="shared" si="30"/>
        <v>Không thực hiện</v>
      </c>
      <c r="Z31" s="31"/>
      <c r="AA31" s="46"/>
      <c r="AB31" s="23"/>
    </row>
    <row r="32" spans="1:28" ht="19" x14ac:dyDescent="0.2">
      <c r="A32" s="44">
        <v>28</v>
      </c>
      <c r="B32" s="24" t="s">
        <v>99</v>
      </c>
      <c r="C32" s="24"/>
      <c r="D32" s="24">
        <v>4</v>
      </c>
      <c r="E32" s="24">
        <v>6</v>
      </c>
      <c r="F32" s="25"/>
      <c r="G32" s="25" t="s">
        <v>86</v>
      </c>
      <c r="H32" s="25" t="s">
        <v>169</v>
      </c>
      <c r="I32" s="25" t="s">
        <v>170</v>
      </c>
      <c r="J32" s="25" t="s">
        <v>171</v>
      </c>
      <c r="K32" s="24" t="s">
        <v>90</v>
      </c>
      <c r="L32" s="33" t="s">
        <v>97</v>
      </c>
      <c r="M32" s="26" t="s">
        <v>98</v>
      </c>
      <c r="N32" s="32"/>
      <c r="O32" s="32"/>
      <c r="P32" s="32"/>
      <c r="Q32" s="32"/>
      <c r="R32" s="28" t="str">
        <f t="shared" ref="R32:T32" si="32">IF(U32&gt;0,"Có","Không")</f>
        <v>Không</v>
      </c>
      <c r="S32" s="28" t="str">
        <f t="shared" si="32"/>
        <v>Không</v>
      </c>
      <c r="T32" s="28" t="str">
        <f t="shared" si="32"/>
        <v>Không</v>
      </c>
      <c r="U32" s="30"/>
      <c r="V32" s="30"/>
      <c r="W32" s="30"/>
      <c r="X32" s="30"/>
      <c r="Y32" s="28" t="str">
        <f t="shared" si="30"/>
        <v>Không thực hiện</v>
      </c>
      <c r="Z32" s="31"/>
      <c r="AA32" s="46"/>
      <c r="AB32" s="23"/>
    </row>
    <row r="33" spans="1:28" ht="19" x14ac:dyDescent="0.2">
      <c r="A33" s="44">
        <v>29</v>
      </c>
      <c r="B33" s="24" t="s">
        <v>85</v>
      </c>
      <c r="C33" s="24"/>
      <c r="D33" s="24">
        <v>8</v>
      </c>
      <c r="E33" s="24">
        <v>6</v>
      </c>
      <c r="F33" s="25"/>
      <c r="G33" s="25" t="s">
        <v>86</v>
      </c>
      <c r="H33" s="25" t="s">
        <v>172</v>
      </c>
      <c r="I33" s="25" t="s">
        <v>173</v>
      </c>
      <c r="J33" s="25" t="s">
        <v>96</v>
      </c>
      <c r="K33" s="24" t="s">
        <v>90</v>
      </c>
      <c r="L33" s="25" t="s">
        <v>91</v>
      </c>
      <c r="M33" s="26" t="s">
        <v>92</v>
      </c>
      <c r="N33" s="32"/>
      <c r="O33" s="32"/>
      <c r="P33" s="32"/>
      <c r="Q33" s="32"/>
      <c r="R33" s="28" t="str">
        <f t="shared" ref="R33:T33" si="33">IF(U33&gt;0,"Có","Không")</f>
        <v>Không</v>
      </c>
      <c r="S33" s="28" t="str">
        <f t="shared" si="33"/>
        <v>Không</v>
      </c>
      <c r="T33" s="28" t="str">
        <f t="shared" si="33"/>
        <v>Không</v>
      </c>
      <c r="U33" s="30"/>
      <c r="V33" s="30"/>
      <c r="W33" s="30"/>
      <c r="X33" s="30"/>
      <c r="Y33" s="28" t="str">
        <f t="shared" si="30"/>
        <v>Không thực hiện</v>
      </c>
      <c r="Z33" s="31"/>
      <c r="AA33" s="46"/>
      <c r="AB33" s="23"/>
    </row>
    <row r="34" spans="1:28" ht="19" x14ac:dyDescent="0.2">
      <c r="A34" s="44">
        <v>30</v>
      </c>
      <c r="B34" s="24" t="s">
        <v>99</v>
      </c>
      <c r="C34" s="24"/>
      <c r="D34" s="24">
        <v>11</v>
      </c>
      <c r="E34" s="24">
        <v>6</v>
      </c>
      <c r="F34" s="25"/>
      <c r="G34" s="25" t="s">
        <v>86</v>
      </c>
      <c r="H34" s="25" t="s">
        <v>174</v>
      </c>
      <c r="I34" s="25" t="s">
        <v>175</v>
      </c>
      <c r="J34" s="25" t="s">
        <v>176</v>
      </c>
      <c r="K34" s="24" t="s">
        <v>90</v>
      </c>
      <c r="L34" s="33" t="s">
        <v>97</v>
      </c>
      <c r="M34" s="26" t="s">
        <v>98</v>
      </c>
      <c r="N34" s="32"/>
      <c r="O34" s="32"/>
      <c r="P34" s="32"/>
      <c r="Q34" s="32"/>
      <c r="R34" s="28" t="str">
        <f t="shared" ref="R34:T34" si="34">IF(U34&gt;0,"Có","Không")</f>
        <v>Không</v>
      </c>
      <c r="S34" s="28" t="str">
        <f t="shared" si="34"/>
        <v>Không</v>
      </c>
      <c r="T34" s="28" t="str">
        <f t="shared" si="34"/>
        <v>Không</v>
      </c>
      <c r="U34" s="30"/>
      <c r="V34" s="30"/>
      <c r="W34" s="30"/>
      <c r="X34" s="30"/>
      <c r="Y34" s="28" t="str">
        <f t="shared" si="30"/>
        <v>Không thực hiện</v>
      </c>
      <c r="Z34" s="31"/>
      <c r="AA34" s="46"/>
      <c r="AB34" s="23"/>
    </row>
    <row r="35" spans="1:28" ht="19" x14ac:dyDescent="0.2">
      <c r="A35" s="44">
        <v>31</v>
      </c>
      <c r="B35" s="24" t="s">
        <v>85</v>
      </c>
      <c r="C35" s="24"/>
      <c r="D35" s="24">
        <v>15</v>
      </c>
      <c r="E35" s="24">
        <v>6</v>
      </c>
      <c r="F35" s="25"/>
      <c r="G35" s="25" t="s">
        <v>86</v>
      </c>
      <c r="H35" s="25" t="s">
        <v>133</v>
      </c>
      <c r="I35" s="25" t="s">
        <v>134</v>
      </c>
      <c r="J35" s="25" t="s">
        <v>96</v>
      </c>
      <c r="K35" s="24" t="s">
        <v>90</v>
      </c>
      <c r="L35" s="25"/>
      <c r="M35" s="26"/>
      <c r="N35" s="32"/>
      <c r="O35" s="32"/>
      <c r="P35" s="32"/>
      <c r="Q35" s="32"/>
      <c r="R35" s="28" t="str">
        <f t="shared" ref="R35:T35" si="35">IF(U35&gt;0,"Có","Không")</f>
        <v>Không</v>
      </c>
      <c r="S35" s="28" t="str">
        <f t="shared" si="35"/>
        <v>Không</v>
      </c>
      <c r="T35" s="28" t="str">
        <f t="shared" si="35"/>
        <v>Không</v>
      </c>
      <c r="U35" s="30"/>
      <c r="V35" s="30"/>
      <c r="W35" s="30"/>
      <c r="X35" s="30"/>
      <c r="Y35" s="28" t="str">
        <f t="shared" si="30"/>
        <v>Không thực hiện</v>
      </c>
      <c r="Z35" s="31"/>
      <c r="AA35" s="46"/>
      <c r="AB35" s="23"/>
    </row>
    <row r="36" spans="1:28" ht="19" x14ac:dyDescent="0.2">
      <c r="A36" s="44">
        <v>32</v>
      </c>
      <c r="B36" s="24" t="s">
        <v>99</v>
      </c>
      <c r="C36" s="24"/>
      <c r="D36" s="24">
        <v>18</v>
      </c>
      <c r="E36" s="24">
        <v>6</v>
      </c>
      <c r="F36" s="25"/>
      <c r="G36" s="25" t="s">
        <v>86</v>
      </c>
      <c r="H36" s="25" t="s">
        <v>177</v>
      </c>
      <c r="I36" s="25" t="s">
        <v>175</v>
      </c>
      <c r="J36" s="25" t="s">
        <v>176</v>
      </c>
      <c r="K36" s="24" t="s">
        <v>90</v>
      </c>
      <c r="L36" s="33" t="s">
        <v>97</v>
      </c>
      <c r="M36" s="26" t="s">
        <v>98</v>
      </c>
      <c r="N36" s="32"/>
      <c r="O36" s="32"/>
      <c r="P36" s="32"/>
      <c r="Q36" s="32"/>
      <c r="R36" s="28" t="str">
        <f t="shared" ref="R36:T36" si="36">IF(U36&gt;0,"Có","Không")</f>
        <v>Không</v>
      </c>
      <c r="S36" s="28" t="str">
        <f t="shared" si="36"/>
        <v>Không</v>
      </c>
      <c r="T36" s="28" t="str">
        <f t="shared" si="36"/>
        <v>Không</v>
      </c>
      <c r="U36" s="30"/>
      <c r="V36" s="30"/>
      <c r="W36" s="30"/>
      <c r="X36" s="30"/>
      <c r="Y36" s="28" t="str">
        <f t="shared" si="30"/>
        <v>Không thực hiện</v>
      </c>
      <c r="Z36" s="31"/>
      <c r="AA36" s="46"/>
      <c r="AB36" s="23"/>
    </row>
    <row r="37" spans="1:28" ht="38" x14ac:dyDescent="0.2">
      <c r="A37" s="44">
        <v>33</v>
      </c>
      <c r="B37" s="24" t="s">
        <v>85</v>
      </c>
      <c r="C37" s="24"/>
      <c r="D37" s="24">
        <v>22</v>
      </c>
      <c r="E37" s="24">
        <v>6</v>
      </c>
      <c r="F37" s="25"/>
      <c r="G37" s="25" t="s">
        <v>86</v>
      </c>
      <c r="H37" s="25" t="s">
        <v>178</v>
      </c>
      <c r="I37" s="25" t="s">
        <v>173</v>
      </c>
      <c r="J37" s="25" t="s">
        <v>96</v>
      </c>
      <c r="K37" s="24" t="s">
        <v>90</v>
      </c>
      <c r="L37" s="25"/>
      <c r="M37" s="26"/>
      <c r="N37" s="32"/>
      <c r="O37" s="32"/>
      <c r="P37" s="32"/>
      <c r="Q37" s="32"/>
      <c r="R37" s="28" t="str">
        <f t="shared" ref="R37:T37" si="37">IF(U37&gt;0,"Có","Không")</f>
        <v>Không</v>
      </c>
      <c r="S37" s="28" t="str">
        <f t="shared" si="37"/>
        <v>Không</v>
      </c>
      <c r="T37" s="28" t="str">
        <f t="shared" si="37"/>
        <v>Không</v>
      </c>
      <c r="U37" s="30"/>
      <c r="V37" s="30"/>
      <c r="W37" s="30"/>
      <c r="X37" s="30"/>
      <c r="Y37" s="28" t="str">
        <f t="shared" si="30"/>
        <v>Không thực hiện</v>
      </c>
      <c r="Z37" s="31"/>
      <c r="AA37" s="46"/>
      <c r="AB37" s="23"/>
    </row>
    <row r="38" spans="1:28" ht="19" x14ac:dyDescent="0.2">
      <c r="A38" s="44">
        <v>34</v>
      </c>
      <c r="B38" s="24" t="s">
        <v>99</v>
      </c>
      <c r="C38" s="24"/>
      <c r="D38" s="24">
        <v>25</v>
      </c>
      <c r="E38" s="24">
        <v>6</v>
      </c>
      <c r="F38" s="25"/>
      <c r="G38" s="25" t="s">
        <v>86</v>
      </c>
      <c r="H38" s="25" t="s">
        <v>179</v>
      </c>
      <c r="I38" s="25" t="s">
        <v>175</v>
      </c>
      <c r="J38" s="25" t="s">
        <v>176</v>
      </c>
      <c r="K38" s="24" t="s">
        <v>90</v>
      </c>
      <c r="L38" s="33" t="s">
        <v>97</v>
      </c>
      <c r="M38" s="26" t="s">
        <v>98</v>
      </c>
      <c r="N38" s="32"/>
      <c r="O38" s="32"/>
      <c r="P38" s="32"/>
      <c r="Q38" s="32"/>
      <c r="R38" s="28" t="str">
        <f t="shared" ref="R38:T38" si="38">IF(U38&gt;0,"Có","Không")</f>
        <v>Không</v>
      </c>
      <c r="S38" s="28" t="str">
        <f t="shared" si="38"/>
        <v>Không</v>
      </c>
      <c r="T38" s="28" t="str">
        <f t="shared" si="38"/>
        <v>Không</v>
      </c>
      <c r="U38" s="30"/>
      <c r="V38" s="30"/>
      <c r="W38" s="30"/>
      <c r="X38" s="30"/>
      <c r="Y38" s="28" t="str">
        <f t="shared" si="30"/>
        <v>Không thực hiện</v>
      </c>
      <c r="Z38" s="31"/>
      <c r="AA38" s="46"/>
      <c r="AB38" s="23"/>
    </row>
    <row r="39" spans="1:28" ht="19" x14ac:dyDescent="0.2">
      <c r="A39" s="44">
        <v>35</v>
      </c>
      <c r="B39" s="24" t="s">
        <v>85</v>
      </c>
      <c r="C39" s="24"/>
      <c r="D39" s="24">
        <v>29</v>
      </c>
      <c r="E39" s="24">
        <v>6</v>
      </c>
      <c r="F39" s="25"/>
      <c r="G39" s="25" t="s">
        <v>86</v>
      </c>
      <c r="H39" s="25" t="s">
        <v>180</v>
      </c>
      <c r="I39" s="25" t="s">
        <v>173</v>
      </c>
      <c r="J39" s="25" t="s">
        <v>96</v>
      </c>
      <c r="K39" s="24" t="s">
        <v>90</v>
      </c>
      <c r="L39" s="25"/>
      <c r="M39" s="26"/>
      <c r="N39" s="32"/>
      <c r="O39" s="32"/>
      <c r="P39" s="32"/>
      <c r="Q39" s="32"/>
      <c r="R39" s="28" t="str">
        <f t="shared" ref="R39:T39" si="39">IF(U39&gt;0,"Có","Không")</f>
        <v>Không</v>
      </c>
      <c r="S39" s="28" t="str">
        <f t="shared" si="39"/>
        <v>Không</v>
      </c>
      <c r="T39" s="28" t="str">
        <f t="shared" si="39"/>
        <v>Không</v>
      </c>
      <c r="U39" s="30"/>
      <c r="V39" s="30"/>
      <c r="W39" s="30"/>
      <c r="X39" s="30"/>
      <c r="Y39" s="28" t="str">
        <f t="shared" si="30"/>
        <v>Không thực hiện</v>
      </c>
      <c r="Z39" s="31"/>
      <c r="AA39" s="46"/>
      <c r="AB39" s="23"/>
    </row>
    <row r="40" spans="1:28" ht="19" x14ac:dyDescent="0.2">
      <c r="A40" s="44">
        <v>36</v>
      </c>
      <c r="B40" s="24" t="s">
        <v>99</v>
      </c>
      <c r="C40" s="24"/>
      <c r="D40" s="24">
        <v>9</v>
      </c>
      <c r="E40" s="24">
        <v>7</v>
      </c>
      <c r="F40" s="25"/>
      <c r="G40" s="25" t="s">
        <v>86</v>
      </c>
      <c r="H40" s="25" t="s">
        <v>181</v>
      </c>
      <c r="I40" s="25" t="s">
        <v>182</v>
      </c>
      <c r="J40" s="25" t="s">
        <v>171</v>
      </c>
      <c r="K40" s="24" t="s">
        <v>90</v>
      </c>
      <c r="L40" s="25" t="s">
        <v>150</v>
      </c>
      <c r="M40" s="26"/>
      <c r="N40" s="32"/>
      <c r="O40" s="32"/>
      <c r="P40" s="32"/>
      <c r="Q40" s="32"/>
      <c r="R40" s="28" t="str">
        <f t="shared" ref="R40:T40" si="40">IF(U40&gt;0,"Có","Không")</f>
        <v>Không</v>
      </c>
      <c r="S40" s="28" t="str">
        <f t="shared" si="40"/>
        <v>Không</v>
      </c>
      <c r="T40" s="28" t="str">
        <f t="shared" si="40"/>
        <v>Không</v>
      </c>
      <c r="U40" s="30"/>
      <c r="V40" s="30"/>
      <c r="W40" s="30"/>
      <c r="X40" s="30"/>
      <c r="Y40" s="28" t="str">
        <f t="shared" si="30"/>
        <v>Không thực hiện</v>
      </c>
      <c r="Z40" s="31"/>
      <c r="AA40" s="46"/>
      <c r="AB40" s="23"/>
    </row>
    <row r="41" spans="1:28" ht="38" x14ac:dyDescent="0.2">
      <c r="A41" s="44">
        <v>37</v>
      </c>
      <c r="B41" s="24" t="s">
        <v>85</v>
      </c>
      <c r="C41" s="24"/>
      <c r="D41" s="24">
        <v>13</v>
      </c>
      <c r="E41" s="24">
        <v>7</v>
      </c>
      <c r="F41" s="25"/>
      <c r="G41" s="25" t="s">
        <v>86</v>
      </c>
      <c r="H41" s="25" t="s">
        <v>183</v>
      </c>
      <c r="I41" s="25" t="s">
        <v>184</v>
      </c>
      <c r="J41" s="25" t="s">
        <v>176</v>
      </c>
      <c r="K41" s="24" t="s">
        <v>90</v>
      </c>
      <c r="L41" s="25" t="s">
        <v>185</v>
      </c>
      <c r="M41" s="26" t="s">
        <v>186</v>
      </c>
      <c r="N41" s="32"/>
      <c r="O41" s="32"/>
      <c r="P41" s="32"/>
      <c r="Q41" s="32"/>
      <c r="R41" s="28" t="str">
        <f t="shared" ref="R41:T41" si="41">IF(U41&gt;0,"Có","Không")</f>
        <v>Không</v>
      </c>
      <c r="S41" s="28" t="str">
        <f t="shared" si="41"/>
        <v>Không</v>
      </c>
      <c r="T41" s="28" t="str">
        <f t="shared" si="41"/>
        <v>Không</v>
      </c>
      <c r="U41" s="30"/>
      <c r="V41" s="30"/>
      <c r="W41" s="30"/>
      <c r="X41" s="30"/>
      <c r="Y41" s="28" t="str">
        <f t="shared" si="30"/>
        <v>Không thực hiện</v>
      </c>
      <c r="Z41" s="31"/>
      <c r="AA41" s="46"/>
      <c r="AB41" s="23"/>
    </row>
    <row r="42" spans="1:28" ht="19" x14ac:dyDescent="0.2">
      <c r="A42" s="44">
        <v>38</v>
      </c>
      <c r="B42" s="24" t="s">
        <v>99</v>
      </c>
      <c r="C42" s="24"/>
      <c r="D42" s="24">
        <v>23</v>
      </c>
      <c r="E42" s="24">
        <v>7</v>
      </c>
      <c r="F42" s="25"/>
      <c r="G42" s="25" t="s">
        <v>86</v>
      </c>
      <c r="H42" s="25" t="s">
        <v>187</v>
      </c>
      <c r="I42" s="25" t="s">
        <v>101</v>
      </c>
      <c r="J42" s="25" t="s">
        <v>171</v>
      </c>
      <c r="K42" s="24" t="s">
        <v>90</v>
      </c>
      <c r="L42" s="25" t="s">
        <v>150</v>
      </c>
      <c r="M42" s="26"/>
      <c r="N42" s="32"/>
      <c r="O42" s="32"/>
      <c r="P42" s="32"/>
      <c r="Q42" s="32"/>
      <c r="R42" s="28" t="str">
        <f t="shared" ref="R42:T42" si="42">IF(U42&gt;0,"Có","Không")</f>
        <v>Không</v>
      </c>
      <c r="S42" s="28" t="str">
        <f t="shared" si="42"/>
        <v>Không</v>
      </c>
      <c r="T42" s="28" t="str">
        <f t="shared" si="42"/>
        <v>Không</v>
      </c>
      <c r="U42" s="30"/>
      <c r="V42" s="30"/>
      <c r="W42" s="30"/>
      <c r="X42" s="30"/>
      <c r="Y42" s="28" t="str">
        <f t="shared" si="30"/>
        <v>Không thực hiện</v>
      </c>
      <c r="Z42" s="31"/>
      <c r="AA42" s="46"/>
      <c r="AB42" s="23"/>
    </row>
    <row r="43" spans="1:28" ht="19" x14ac:dyDescent="0.2">
      <c r="A43" s="44">
        <v>39</v>
      </c>
      <c r="B43" s="24" t="s">
        <v>85</v>
      </c>
      <c r="C43" s="24"/>
      <c r="D43" s="24">
        <v>27</v>
      </c>
      <c r="E43" s="24">
        <v>7</v>
      </c>
      <c r="F43" s="25"/>
      <c r="G43" s="25" t="s">
        <v>86</v>
      </c>
      <c r="H43" s="25" t="s">
        <v>188</v>
      </c>
      <c r="I43" s="25" t="s">
        <v>189</v>
      </c>
      <c r="J43" s="25" t="s">
        <v>171</v>
      </c>
      <c r="K43" s="24" t="s">
        <v>90</v>
      </c>
      <c r="L43" s="25" t="s">
        <v>91</v>
      </c>
      <c r="M43" s="26" t="s">
        <v>92</v>
      </c>
      <c r="N43" s="32"/>
      <c r="O43" s="32"/>
      <c r="P43" s="32"/>
      <c r="Q43" s="32"/>
      <c r="R43" s="28" t="str">
        <f t="shared" ref="R43:T43" si="43">IF(U43&gt;0,"Có","Không")</f>
        <v>Không</v>
      </c>
      <c r="S43" s="28" t="str">
        <f t="shared" si="43"/>
        <v>Không</v>
      </c>
      <c r="T43" s="28" t="str">
        <f t="shared" si="43"/>
        <v>Không</v>
      </c>
      <c r="U43" s="30"/>
      <c r="V43" s="30"/>
      <c r="W43" s="30"/>
      <c r="X43" s="30"/>
      <c r="Y43" s="28" t="str">
        <f t="shared" si="30"/>
        <v>Không thực hiện</v>
      </c>
      <c r="Z43" s="31"/>
      <c r="AA43" s="46"/>
      <c r="AB43" s="23"/>
    </row>
    <row r="44" spans="1:28" ht="19" x14ac:dyDescent="0.2">
      <c r="A44" s="44">
        <v>40</v>
      </c>
      <c r="B44" s="24" t="s">
        <v>99</v>
      </c>
      <c r="C44" s="24"/>
      <c r="D44" s="24">
        <v>6</v>
      </c>
      <c r="E44" s="24">
        <v>8</v>
      </c>
      <c r="F44" s="25"/>
      <c r="G44" s="25" t="s">
        <v>86</v>
      </c>
      <c r="H44" s="25" t="s">
        <v>190</v>
      </c>
      <c r="I44" s="25" t="s">
        <v>101</v>
      </c>
      <c r="J44" s="25" t="s">
        <v>171</v>
      </c>
      <c r="K44" s="24" t="s">
        <v>90</v>
      </c>
      <c r="L44" s="25" t="s">
        <v>150</v>
      </c>
      <c r="M44" s="26"/>
      <c r="N44" s="32"/>
      <c r="O44" s="32"/>
      <c r="P44" s="32"/>
      <c r="Q44" s="32"/>
      <c r="R44" s="28" t="str">
        <f t="shared" ref="R44:T44" si="44">IF(U44&gt;0,"Có","Không")</f>
        <v>Không</v>
      </c>
      <c r="S44" s="28" t="str">
        <f t="shared" si="44"/>
        <v>Không</v>
      </c>
      <c r="T44" s="28" t="str">
        <f t="shared" si="44"/>
        <v>Không</v>
      </c>
      <c r="U44" s="30"/>
      <c r="V44" s="30"/>
      <c r="W44" s="30"/>
      <c r="X44" s="30"/>
      <c r="Y44" s="28" t="str">
        <f t="shared" si="30"/>
        <v>Không thực hiện</v>
      </c>
      <c r="Z44" s="31"/>
      <c r="AA44" s="46"/>
      <c r="AB44" s="23"/>
    </row>
    <row r="45" spans="1:28" ht="19" x14ac:dyDescent="0.2">
      <c r="A45" s="44">
        <v>41</v>
      </c>
      <c r="B45" s="24" t="s">
        <v>85</v>
      </c>
      <c r="C45" s="24"/>
      <c r="D45" s="24">
        <v>10</v>
      </c>
      <c r="E45" s="24">
        <v>8</v>
      </c>
      <c r="F45" s="25"/>
      <c r="G45" s="25" t="s">
        <v>86</v>
      </c>
      <c r="H45" s="25" t="s">
        <v>191</v>
      </c>
      <c r="I45" s="25" t="s">
        <v>192</v>
      </c>
      <c r="J45" s="25" t="s">
        <v>171</v>
      </c>
      <c r="K45" s="24" t="s">
        <v>90</v>
      </c>
      <c r="L45" s="25" t="s">
        <v>91</v>
      </c>
      <c r="M45" s="26" t="s">
        <v>92</v>
      </c>
      <c r="N45" s="32"/>
      <c r="O45" s="32"/>
      <c r="P45" s="32"/>
      <c r="Q45" s="32"/>
      <c r="R45" s="28" t="str">
        <f t="shared" ref="R45:T45" si="45">IF(U45&gt;0,"Có","Không")</f>
        <v>Không</v>
      </c>
      <c r="S45" s="28" t="str">
        <f t="shared" si="45"/>
        <v>Không</v>
      </c>
      <c r="T45" s="28" t="str">
        <f t="shared" si="45"/>
        <v>Không</v>
      </c>
      <c r="U45" s="30"/>
      <c r="V45" s="30"/>
      <c r="W45" s="30"/>
      <c r="X45" s="30"/>
      <c r="Y45" s="28" t="str">
        <f t="shared" si="30"/>
        <v>Không thực hiện</v>
      </c>
      <c r="Z45" s="31"/>
      <c r="AA45" s="46"/>
      <c r="AB45" s="23"/>
    </row>
    <row r="46" spans="1:28" ht="19" x14ac:dyDescent="0.2">
      <c r="A46" s="44">
        <v>42</v>
      </c>
      <c r="B46" s="24" t="s">
        <v>99</v>
      </c>
      <c r="C46" s="24"/>
      <c r="D46" s="24">
        <v>20</v>
      </c>
      <c r="E46" s="24">
        <v>8</v>
      </c>
      <c r="F46" s="25"/>
      <c r="G46" s="25" t="s">
        <v>86</v>
      </c>
      <c r="H46" s="25" t="s">
        <v>193</v>
      </c>
      <c r="I46" s="25" t="s">
        <v>194</v>
      </c>
      <c r="J46" s="25" t="s">
        <v>171</v>
      </c>
      <c r="K46" s="24" t="s">
        <v>90</v>
      </c>
      <c r="L46" s="25" t="s">
        <v>150</v>
      </c>
      <c r="M46" s="26"/>
      <c r="N46" s="32"/>
      <c r="O46" s="32"/>
      <c r="P46" s="32"/>
      <c r="Q46" s="32"/>
      <c r="R46" s="28" t="str">
        <f t="shared" ref="R46:T46" si="46">IF(U46&gt;0,"Có","Không")</f>
        <v>Không</v>
      </c>
      <c r="S46" s="28" t="str">
        <f t="shared" si="46"/>
        <v>Không</v>
      </c>
      <c r="T46" s="28" t="str">
        <f t="shared" si="46"/>
        <v>Không</v>
      </c>
      <c r="U46" s="30"/>
      <c r="V46" s="30"/>
      <c r="W46" s="30"/>
      <c r="X46" s="30"/>
      <c r="Y46" s="28" t="str">
        <f t="shared" si="30"/>
        <v>Không thực hiện</v>
      </c>
      <c r="Z46" s="31"/>
      <c r="AA46" s="46"/>
      <c r="AB46" s="23"/>
    </row>
    <row r="47" spans="1:28" ht="19" x14ac:dyDescent="0.2">
      <c r="A47" s="44">
        <v>43</v>
      </c>
      <c r="B47" s="24" t="s">
        <v>85</v>
      </c>
      <c r="C47" s="24"/>
      <c r="D47" s="24">
        <v>24</v>
      </c>
      <c r="E47" s="24">
        <v>8</v>
      </c>
      <c r="F47" s="25"/>
      <c r="G47" s="25" t="s">
        <v>86</v>
      </c>
      <c r="H47" s="25" t="s">
        <v>195</v>
      </c>
      <c r="I47" s="25" t="s">
        <v>196</v>
      </c>
      <c r="J47" s="25" t="s">
        <v>171</v>
      </c>
      <c r="K47" s="24" t="s">
        <v>90</v>
      </c>
      <c r="L47" s="25" t="s">
        <v>91</v>
      </c>
      <c r="M47" s="26" t="s">
        <v>92</v>
      </c>
      <c r="N47" s="32"/>
      <c r="O47" s="32"/>
      <c r="P47" s="32"/>
      <c r="Q47" s="32"/>
      <c r="R47" s="28" t="str">
        <f t="shared" ref="R47:T47" si="47">IF(U47&gt;0,"Có","Không")</f>
        <v>Không</v>
      </c>
      <c r="S47" s="28" t="str">
        <f t="shared" si="47"/>
        <v>Không</v>
      </c>
      <c r="T47" s="28" t="str">
        <f t="shared" si="47"/>
        <v>Không</v>
      </c>
      <c r="U47" s="30"/>
      <c r="V47" s="30"/>
      <c r="W47" s="30"/>
      <c r="X47" s="30"/>
      <c r="Y47" s="28" t="str">
        <f t="shared" si="30"/>
        <v>Không thực hiện</v>
      </c>
      <c r="Z47" s="31"/>
      <c r="AA47" s="46"/>
      <c r="AB47" s="23"/>
    </row>
    <row r="48" spans="1:28" ht="19" x14ac:dyDescent="0.2">
      <c r="A48" s="44">
        <v>44</v>
      </c>
      <c r="B48" s="24" t="s">
        <v>99</v>
      </c>
      <c r="C48" s="24"/>
      <c r="D48" s="24">
        <v>3</v>
      </c>
      <c r="E48" s="24">
        <v>9</v>
      </c>
      <c r="F48" s="25"/>
      <c r="G48" s="25" t="s">
        <v>86</v>
      </c>
      <c r="H48" s="25" t="s">
        <v>197</v>
      </c>
      <c r="I48" s="25" t="s">
        <v>198</v>
      </c>
      <c r="J48" s="25" t="s">
        <v>171</v>
      </c>
      <c r="K48" s="24" t="s">
        <v>90</v>
      </c>
      <c r="L48" s="25" t="s">
        <v>150</v>
      </c>
      <c r="M48" s="26"/>
      <c r="N48" s="32"/>
      <c r="O48" s="32"/>
      <c r="P48" s="32"/>
      <c r="Q48" s="32"/>
      <c r="R48" s="28" t="str">
        <f t="shared" ref="R48:T48" si="48">IF(U48&gt;0,"Có","Không")</f>
        <v>Không</v>
      </c>
      <c r="S48" s="28" t="str">
        <f t="shared" si="48"/>
        <v>Không</v>
      </c>
      <c r="T48" s="28" t="str">
        <f t="shared" si="48"/>
        <v>Không</v>
      </c>
      <c r="U48" s="30"/>
      <c r="V48" s="30"/>
      <c r="W48" s="30"/>
      <c r="X48" s="30"/>
      <c r="Y48" s="28" t="str">
        <f t="shared" si="30"/>
        <v>Không thực hiện</v>
      </c>
      <c r="Z48" s="31"/>
      <c r="AA48" s="46"/>
      <c r="AB48" s="23"/>
    </row>
    <row r="49" spans="1:28" ht="19" x14ac:dyDescent="0.2">
      <c r="A49" s="44">
        <v>45</v>
      </c>
      <c r="B49" s="24" t="s">
        <v>85</v>
      </c>
      <c r="C49" s="24"/>
      <c r="D49" s="24">
        <v>7</v>
      </c>
      <c r="E49" s="24">
        <v>9</v>
      </c>
      <c r="F49" s="25"/>
      <c r="G49" s="25" t="s">
        <v>86</v>
      </c>
      <c r="H49" s="25" t="s">
        <v>199</v>
      </c>
      <c r="I49" s="25" t="s">
        <v>200</v>
      </c>
      <c r="J49" s="25" t="s">
        <v>171</v>
      </c>
      <c r="K49" s="24" t="s">
        <v>90</v>
      </c>
      <c r="L49" s="25" t="s">
        <v>91</v>
      </c>
      <c r="M49" s="26" t="s">
        <v>92</v>
      </c>
      <c r="N49" s="32"/>
      <c r="O49" s="32"/>
      <c r="P49" s="32"/>
      <c r="Q49" s="32"/>
      <c r="R49" s="28" t="str">
        <f t="shared" ref="R49:T49" si="49">IF(U49&gt;0,"Có","Không")</f>
        <v>Không</v>
      </c>
      <c r="S49" s="28" t="str">
        <f t="shared" si="49"/>
        <v>Không</v>
      </c>
      <c r="T49" s="28" t="str">
        <f t="shared" si="49"/>
        <v>Không</v>
      </c>
      <c r="U49" s="30"/>
      <c r="V49" s="30"/>
      <c r="W49" s="30"/>
      <c r="X49" s="30"/>
      <c r="Y49" s="28" t="str">
        <f t="shared" si="30"/>
        <v>Không thực hiện</v>
      </c>
      <c r="Z49" s="31"/>
      <c r="AA49" s="46"/>
      <c r="AB49" s="23"/>
    </row>
    <row r="50" spans="1:28" ht="38" x14ac:dyDescent="0.2">
      <c r="A50" s="44">
        <v>47</v>
      </c>
      <c r="B50" s="24" t="s">
        <v>99</v>
      </c>
      <c r="C50" s="24"/>
      <c r="D50" s="24">
        <v>17</v>
      </c>
      <c r="E50" s="24">
        <v>9</v>
      </c>
      <c r="F50" s="25"/>
      <c r="G50" s="25" t="s">
        <v>86</v>
      </c>
      <c r="H50" s="25" t="s">
        <v>201</v>
      </c>
      <c r="I50" s="25" t="s">
        <v>202</v>
      </c>
      <c r="J50" s="25" t="s">
        <v>171</v>
      </c>
      <c r="K50" s="24" t="s">
        <v>90</v>
      </c>
      <c r="L50" s="25" t="s">
        <v>150</v>
      </c>
      <c r="M50" s="26"/>
      <c r="N50" s="32"/>
      <c r="O50" s="32"/>
      <c r="P50" s="32"/>
      <c r="Q50" s="32"/>
      <c r="R50" s="28" t="str">
        <f t="shared" ref="R50:T50" si="50">IF(U50&gt;0,"Có","Không")</f>
        <v>Không</v>
      </c>
      <c r="S50" s="28" t="str">
        <f t="shared" si="50"/>
        <v>Không</v>
      </c>
      <c r="T50" s="28" t="str">
        <f t="shared" si="50"/>
        <v>Không</v>
      </c>
      <c r="U50" s="30"/>
      <c r="V50" s="30"/>
      <c r="W50" s="30"/>
      <c r="X50" s="30"/>
      <c r="Y50" s="28" t="str">
        <f t="shared" si="30"/>
        <v>Không thực hiện</v>
      </c>
      <c r="Z50" s="31"/>
      <c r="AA50" s="46"/>
      <c r="AB50" s="23"/>
    </row>
    <row r="51" spans="1:28" ht="19" x14ac:dyDescent="0.2">
      <c r="A51" s="44">
        <v>48</v>
      </c>
      <c r="B51" s="24" t="s">
        <v>85</v>
      </c>
      <c r="C51" s="24"/>
      <c r="D51" s="24">
        <v>21</v>
      </c>
      <c r="E51" s="24">
        <v>9</v>
      </c>
      <c r="F51" s="25"/>
      <c r="G51" s="25" t="s">
        <v>86</v>
      </c>
      <c r="H51" s="25" t="s">
        <v>203</v>
      </c>
      <c r="I51" s="25" t="s">
        <v>204</v>
      </c>
      <c r="J51" s="25" t="s">
        <v>171</v>
      </c>
      <c r="K51" s="24" t="s">
        <v>90</v>
      </c>
      <c r="L51" s="25" t="s">
        <v>91</v>
      </c>
      <c r="M51" s="26" t="s">
        <v>92</v>
      </c>
      <c r="N51" s="32"/>
      <c r="O51" s="32"/>
      <c r="P51" s="32"/>
      <c r="Q51" s="32"/>
      <c r="R51" s="28" t="str">
        <f t="shared" ref="R51:T51" si="51">IF(U51&gt;0,"Có","Không")</f>
        <v>Không</v>
      </c>
      <c r="S51" s="28" t="str">
        <f t="shared" si="51"/>
        <v>Không</v>
      </c>
      <c r="T51" s="28" t="str">
        <f t="shared" si="51"/>
        <v>Không</v>
      </c>
      <c r="U51" s="30"/>
      <c r="V51" s="30"/>
      <c r="W51" s="30"/>
      <c r="X51" s="30"/>
      <c r="Y51" s="28" t="str">
        <f t="shared" si="30"/>
        <v>Không thực hiện</v>
      </c>
      <c r="Z51" s="31"/>
      <c r="AA51" s="46"/>
      <c r="AB51" s="23"/>
    </row>
    <row r="52" spans="1:28" ht="19" x14ac:dyDescent="0.2">
      <c r="A52" s="44">
        <v>49</v>
      </c>
      <c r="B52" s="24" t="s">
        <v>99</v>
      </c>
      <c r="C52" s="24"/>
      <c r="D52" s="24">
        <v>1</v>
      </c>
      <c r="E52" s="24">
        <v>10</v>
      </c>
      <c r="F52" s="25"/>
      <c r="G52" s="25" t="s">
        <v>86</v>
      </c>
      <c r="H52" s="25" t="s">
        <v>205</v>
      </c>
      <c r="I52" s="25" t="s">
        <v>173</v>
      </c>
      <c r="J52" s="25" t="s">
        <v>171</v>
      </c>
      <c r="K52" s="24" t="s">
        <v>90</v>
      </c>
      <c r="L52" s="25" t="s">
        <v>150</v>
      </c>
      <c r="M52" s="26"/>
      <c r="N52" s="32"/>
      <c r="O52" s="32"/>
      <c r="P52" s="32"/>
      <c r="Q52" s="32"/>
      <c r="R52" s="28" t="str">
        <f t="shared" ref="R52:T52" si="52">IF(U52&gt;0,"Có","Không")</f>
        <v>Không</v>
      </c>
      <c r="S52" s="28" t="str">
        <f t="shared" si="52"/>
        <v>Không</v>
      </c>
      <c r="T52" s="28" t="str">
        <f t="shared" si="52"/>
        <v>Không</v>
      </c>
      <c r="U52" s="30"/>
      <c r="V52" s="30"/>
      <c r="W52" s="30"/>
      <c r="X52" s="30"/>
      <c r="Y52" s="28" t="str">
        <f t="shared" si="30"/>
        <v>Không thực hiện</v>
      </c>
      <c r="Z52" s="31"/>
      <c r="AA52" s="46"/>
      <c r="AB52" s="23"/>
    </row>
    <row r="53" spans="1:28" ht="38" x14ac:dyDescent="0.2">
      <c r="A53" s="44">
        <v>50</v>
      </c>
      <c r="B53" s="24" t="s">
        <v>85</v>
      </c>
      <c r="C53" s="24"/>
      <c r="D53" s="24">
        <v>5</v>
      </c>
      <c r="E53" s="24">
        <v>10</v>
      </c>
      <c r="F53" s="25"/>
      <c r="G53" s="25" t="s">
        <v>86</v>
      </c>
      <c r="H53" s="25" t="s">
        <v>206</v>
      </c>
      <c r="I53" s="25" t="s">
        <v>207</v>
      </c>
      <c r="J53" s="25" t="s">
        <v>171</v>
      </c>
      <c r="K53" s="24" t="s">
        <v>90</v>
      </c>
      <c r="L53" s="25" t="s">
        <v>91</v>
      </c>
      <c r="M53" s="26" t="s">
        <v>92</v>
      </c>
      <c r="N53" s="32"/>
      <c r="O53" s="32"/>
      <c r="P53" s="32"/>
      <c r="Q53" s="32"/>
      <c r="R53" s="28" t="str">
        <f t="shared" ref="R53:T53" si="53">IF(U53&gt;0,"Có","Không")</f>
        <v>Không</v>
      </c>
      <c r="S53" s="28" t="str">
        <f t="shared" si="53"/>
        <v>Không</v>
      </c>
      <c r="T53" s="28" t="str">
        <f t="shared" si="53"/>
        <v>Không</v>
      </c>
      <c r="U53" s="30"/>
      <c r="V53" s="30"/>
      <c r="W53" s="30"/>
      <c r="X53" s="30"/>
      <c r="Y53" s="28" t="str">
        <f t="shared" si="30"/>
        <v>Không thực hiện</v>
      </c>
      <c r="Z53" s="31"/>
      <c r="AA53" s="46"/>
      <c r="AB53" s="23"/>
    </row>
    <row r="54" spans="1:28" ht="19" x14ac:dyDescent="0.2">
      <c r="A54" s="44">
        <v>51</v>
      </c>
      <c r="B54" s="24" t="s">
        <v>99</v>
      </c>
      <c r="C54" s="24"/>
      <c r="D54" s="24">
        <v>15</v>
      </c>
      <c r="E54" s="24">
        <v>10</v>
      </c>
      <c r="F54" s="25"/>
      <c r="G54" s="25" t="s">
        <v>86</v>
      </c>
      <c r="H54" s="25" t="s">
        <v>208</v>
      </c>
      <c r="I54" s="25" t="s">
        <v>209</v>
      </c>
      <c r="J54" s="25" t="s">
        <v>171</v>
      </c>
      <c r="K54" s="24" t="s">
        <v>90</v>
      </c>
      <c r="L54" s="25" t="s">
        <v>150</v>
      </c>
      <c r="M54" s="26"/>
      <c r="N54" s="32"/>
      <c r="O54" s="32"/>
      <c r="P54" s="32"/>
      <c r="Q54" s="32"/>
      <c r="R54" s="28" t="str">
        <f t="shared" ref="R54:T54" si="54">IF(U54&gt;0,"Có","Không")</f>
        <v>Không</v>
      </c>
      <c r="S54" s="28" t="str">
        <f t="shared" si="54"/>
        <v>Không</v>
      </c>
      <c r="T54" s="28" t="str">
        <f t="shared" si="54"/>
        <v>Không</v>
      </c>
      <c r="U54" s="30"/>
      <c r="V54" s="30"/>
      <c r="W54" s="30"/>
      <c r="X54" s="30"/>
      <c r="Y54" s="28" t="str">
        <f t="shared" si="30"/>
        <v>Không thực hiện</v>
      </c>
      <c r="Z54" s="31"/>
      <c r="AA54" s="46"/>
      <c r="AB54" s="23"/>
    </row>
    <row r="55" spans="1:28" ht="19" x14ac:dyDescent="0.2">
      <c r="A55" s="44">
        <v>52</v>
      </c>
      <c r="B55" s="24" t="s">
        <v>85</v>
      </c>
      <c r="C55" s="24"/>
      <c r="D55" s="24">
        <v>19</v>
      </c>
      <c r="E55" s="24">
        <v>10</v>
      </c>
      <c r="F55" s="25"/>
      <c r="G55" s="25" t="s">
        <v>86</v>
      </c>
      <c r="H55" s="25" t="s">
        <v>210</v>
      </c>
      <c r="I55" s="25" t="s">
        <v>211</v>
      </c>
      <c r="J55" s="25" t="s">
        <v>171</v>
      </c>
      <c r="K55" s="24" t="s">
        <v>90</v>
      </c>
      <c r="L55" s="25" t="s">
        <v>91</v>
      </c>
      <c r="M55" s="26" t="s">
        <v>92</v>
      </c>
      <c r="N55" s="32"/>
      <c r="O55" s="32"/>
      <c r="P55" s="32"/>
      <c r="Q55" s="32"/>
      <c r="R55" s="28" t="str">
        <f t="shared" ref="R55:T55" si="55">IF(U55&gt;0,"Có","Không")</f>
        <v>Không</v>
      </c>
      <c r="S55" s="28" t="str">
        <f t="shared" si="55"/>
        <v>Không</v>
      </c>
      <c r="T55" s="28" t="str">
        <f t="shared" si="55"/>
        <v>Không</v>
      </c>
      <c r="U55" s="30"/>
      <c r="V55" s="30"/>
      <c r="W55" s="30"/>
      <c r="X55" s="30"/>
      <c r="Y55" s="28" t="str">
        <f t="shared" si="30"/>
        <v>Không thực hiện</v>
      </c>
      <c r="Z55" s="31"/>
      <c r="AA55" s="46"/>
      <c r="AB55" s="23"/>
    </row>
    <row r="56" spans="1:28" ht="19" x14ac:dyDescent="0.2">
      <c r="A56" s="45">
        <v>53</v>
      </c>
      <c r="B56" s="40" t="s">
        <v>99</v>
      </c>
      <c r="C56" s="40"/>
      <c r="D56" s="40">
        <v>29</v>
      </c>
      <c r="E56" s="40">
        <v>10</v>
      </c>
      <c r="F56" s="41"/>
      <c r="G56" s="41" t="s">
        <v>86</v>
      </c>
      <c r="H56" s="41" t="s">
        <v>212</v>
      </c>
      <c r="I56" s="25" t="s">
        <v>213</v>
      </c>
      <c r="J56" s="25" t="s">
        <v>171</v>
      </c>
      <c r="K56" s="40" t="s">
        <v>90</v>
      </c>
      <c r="L56" s="25" t="s">
        <v>150</v>
      </c>
      <c r="M56" s="42"/>
      <c r="N56" s="32"/>
      <c r="O56" s="32"/>
      <c r="P56" s="32"/>
      <c r="Q56" s="32"/>
      <c r="R56" s="28" t="str">
        <f t="shared" ref="R56:T56" si="56">IF(U56&gt;0,"Có","Không")</f>
        <v>Không</v>
      </c>
      <c r="S56" s="28" t="str">
        <f t="shared" si="56"/>
        <v>Không</v>
      </c>
      <c r="T56" s="28" t="str">
        <f t="shared" si="56"/>
        <v>Không</v>
      </c>
      <c r="U56" s="30"/>
      <c r="V56" s="30"/>
      <c r="W56" s="30"/>
      <c r="X56" s="30"/>
      <c r="Y56" s="28" t="str">
        <f t="shared" si="30"/>
        <v>Không thực hiện</v>
      </c>
      <c r="Z56" s="31"/>
      <c r="AA56" s="46"/>
      <c r="AB56" s="43"/>
    </row>
    <row r="57" spans="1:28" ht="19" x14ac:dyDescent="0.2">
      <c r="A57" s="44">
        <v>54</v>
      </c>
      <c r="B57" s="24" t="s">
        <v>85</v>
      </c>
      <c r="C57" s="24"/>
      <c r="D57" s="24">
        <v>2</v>
      </c>
      <c r="E57" s="24">
        <v>11</v>
      </c>
      <c r="F57" s="25"/>
      <c r="G57" s="25" t="s">
        <v>86</v>
      </c>
      <c r="H57" s="25" t="s">
        <v>214</v>
      </c>
      <c r="I57" s="25" t="s">
        <v>215</v>
      </c>
      <c r="J57" s="25" t="s">
        <v>171</v>
      </c>
      <c r="K57" s="24" t="s">
        <v>90</v>
      </c>
      <c r="L57" s="25" t="s">
        <v>91</v>
      </c>
      <c r="M57" s="26" t="s">
        <v>216</v>
      </c>
      <c r="N57" s="32"/>
      <c r="O57" s="32"/>
      <c r="P57" s="32"/>
      <c r="Q57" s="32"/>
      <c r="R57" s="28" t="str">
        <f t="shared" ref="R57:T57" si="57">IF(U57&gt;0,"Có","Không")</f>
        <v>Không</v>
      </c>
      <c r="S57" s="28" t="str">
        <f t="shared" si="57"/>
        <v>Không</v>
      </c>
      <c r="T57" s="28" t="str">
        <f t="shared" si="57"/>
        <v>Không</v>
      </c>
      <c r="U57" s="30"/>
      <c r="V57" s="30"/>
      <c r="W57" s="30"/>
      <c r="X57" s="30"/>
      <c r="Y57" s="28" t="str">
        <f t="shared" si="30"/>
        <v>Không thực hiện</v>
      </c>
      <c r="Z57" s="31"/>
      <c r="AA57" s="46"/>
      <c r="AB57" s="23"/>
    </row>
    <row r="58" spans="1:28" ht="19" x14ac:dyDescent="0.2">
      <c r="A58" s="44">
        <v>55</v>
      </c>
      <c r="B58" s="24" t="s">
        <v>99</v>
      </c>
      <c r="C58" s="24"/>
      <c r="D58" s="24">
        <v>12</v>
      </c>
      <c r="E58" s="24">
        <v>11</v>
      </c>
      <c r="F58" s="25"/>
      <c r="G58" s="25" t="s">
        <v>86</v>
      </c>
      <c r="H58" s="25" t="s">
        <v>217</v>
      </c>
      <c r="I58" s="25" t="s">
        <v>218</v>
      </c>
      <c r="J58" s="25" t="s">
        <v>171</v>
      </c>
      <c r="K58" s="24" t="s">
        <v>90</v>
      </c>
      <c r="L58" s="25" t="s">
        <v>150</v>
      </c>
      <c r="M58" s="26"/>
      <c r="N58" s="32"/>
      <c r="O58" s="32"/>
      <c r="P58" s="32"/>
      <c r="Q58" s="32"/>
      <c r="R58" s="28" t="str">
        <f t="shared" ref="R58:T58" si="58">IF(U58&gt;0,"Có","Không")</f>
        <v>Không</v>
      </c>
      <c r="S58" s="28" t="str">
        <f t="shared" si="58"/>
        <v>Không</v>
      </c>
      <c r="T58" s="28" t="str">
        <f t="shared" si="58"/>
        <v>Không</v>
      </c>
      <c r="U58" s="30"/>
      <c r="V58" s="30"/>
      <c r="W58" s="30"/>
      <c r="X58" s="30"/>
      <c r="Y58" s="28" t="str">
        <f t="shared" si="30"/>
        <v>Không thực hiện</v>
      </c>
      <c r="Z58" s="31"/>
      <c r="AA58" s="46"/>
      <c r="AB58" s="23"/>
    </row>
    <row r="59" spans="1:28" ht="19" x14ac:dyDescent="0.2">
      <c r="A59" s="44">
        <v>56</v>
      </c>
      <c r="B59" s="24" t="s">
        <v>85</v>
      </c>
      <c r="C59" s="24"/>
      <c r="D59" s="24">
        <v>16</v>
      </c>
      <c r="E59" s="24">
        <v>11</v>
      </c>
      <c r="F59" s="25"/>
      <c r="G59" s="25" t="s">
        <v>86</v>
      </c>
      <c r="H59" s="25" t="s">
        <v>219</v>
      </c>
      <c r="I59" s="25" t="s">
        <v>220</v>
      </c>
      <c r="J59" s="25" t="s">
        <v>171</v>
      </c>
      <c r="K59" s="24" t="s">
        <v>90</v>
      </c>
      <c r="L59" s="25" t="s">
        <v>91</v>
      </c>
      <c r="M59" s="26" t="s">
        <v>216</v>
      </c>
      <c r="N59" s="32"/>
      <c r="O59" s="32"/>
      <c r="P59" s="32"/>
      <c r="Q59" s="32"/>
      <c r="R59" s="28" t="str">
        <f t="shared" ref="R59:T59" si="59">IF(U59&gt;0,"Có","Không")</f>
        <v>Không</v>
      </c>
      <c r="S59" s="28" t="str">
        <f t="shared" si="59"/>
        <v>Không</v>
      </c>
      <c r="T59" s="28" t="str">
        <f t="shared" si="59"/>
        <v>Không</v>
      </c>
      <c r="U59" s="30"/>
      <c r="V59" s="30"/>
      <c r="W59" s="30"/>
      <c r="X59" s="30"/>
      <c r="Y59" s="28" t="str">
        <f t="shared" si="30"/>
        <v>Không thực hiện</v>
      </c>
      <c r="Z59" s="31"/>
      <c r="AA59" s="46"/>
      <c r="AB59" s="23"/>
    </row>
    <row r="60" spans="1:28" ht="19" x14ac:dyDescent="0.2">
      <c r="A60" s="44">
        <v>58</v>
      </c>
      <c r="B60" s="24" t="s">
        <v>99</v>
      </c>
      <c r="C60" s="24"/>
      <c r="D60" s="24">
        <v>26</v>
      </c>
      <c r="E60" s="24">
        <v>11</v>
      </c>
      <c r="F60" s="25"/>
      <c r="G60" s="25" t="s">
        <v>86</v>
      </c>
      <c r="H60" s="25" t="s">
        <v>221</v>
      </c>
      <c r="I60" s="25" t="s">
        <v>222</v>
      </c>
      <c r="J60" s="25" t="s">
        <v>171</v>
      </c>
      <c r="K60" s="24" t="s">
        <v>90</v>
      </c>
      <c r="L60" s="25" t="s">
        <v>150</v>
      </c>
      <c r="M60" s="26"/>
      <c r="N60" s="32"/>
      <c r="O60" s="32"/>
      <c r="P60" s="32"/>
      <c r="Q60" s="32"/>
      <c r="R60" s="28" t="str">
        <f t="shared" ref="R60:T60" si="60">IF(U60&gt;0,"Có","Không")</f>
        <v>Không</v>
      </c>
      <c r="S60" s="28" t="str">
        <f t="shared" si="60"/>
        <v>Không</v>
      </c>
      <c r="T60" s="28" t="str">
        <f t="shared" si="60"/>
        <v>Không</v>
      </c>
      <c r="U60" s="30"/>
      <c r="V60" s="30"/>
      <c r="W60" s="30"/>
      <c r="X60" s="30"/>
      <c r="Y60" s="28" t="str">
        <f t="shared" si="30"/>
        <v>Không thực hiện</v>
      </c>
      <c r="Z60" s="31"/>
      <c r="AA60" s="46"/>
      <c r="AB60" s="23"/>
    </row>
    <row r="61" spans="1:28" ht="38" x14ac:dyDescent="0.2">
      <c r="A61" s="44">
        <v>59</v>
      </c>
      <c r="B61" s="24" t="s">
        <v>85</v>
      </c>
      <c r="C61" s="24"/>
      <c r="D61" s="24">
        <v>30</v>
      </c>
      <c r="E61" s="24">
        <v>11</v>
      </c>
      <c r="F61" s="25"/>
      <c r="G61" s="25" t="s">
        <v>86</v>
      </c>
      <c r="H61" s="25" t="s">
        <v>223</v>
      </c>
      <c r="I61" s="25" t="s">
        <v>224</v>
      </c>
      <c r="J61" s="25" t="s">
        <v>171</v>
      </c>
      <c r="K61" s="24" t="s">
        <v>90</v>
      </c>
      <c r="L61" s="25" t="s">
        <v>91</v>
      </c>
      <c r="M61" s="26" t="s">
        <v>216</v>
      </c>
      <c r="N61" s="32"/>
      <c r="O61" s="32"/>
      <c r="P61" s="32"/>
      <c r="Q61" s="32"/>
      <c r="R61" s="28" t="str">
        <f t="shared" ref="R61:T61" si="61">IF(U61&gt;0,"Có","Không")</f>
        <v>Không</v>
      </c>
      <c r="S61" s="28" t="str">
        <f t="shared" si="61"/>
        <v>Không</v>
      </c>
      <c r="T61" s="28" t="str">
        <f t="shared" si="61"/>
        <v>Không</v>
      </c>
      <c r="U61" s="30"/>
      <c r="V61" s="30"/>
      <c r="W61" s="30"/>
      <c r="X61" s="30"/>
      <c r="Y61" s="28" t="str">
        <f t="shared" si="30"/>
        <v>Không thực hiện</v>
      </c>
      <c r="Z61" s="31"/>
      <c r="AA61" s="46"/>
      <c r="AB61" s="23"/>
    </row>
    <row r="62" spans="1:28" ht="19" x14ac:dyDescent="0.2">
      <c r="A62" s="44">
        <v>60</v>
      </c>
      <c r="B62" s="24" t="s">
        <v>99</v>
      </c>
      <c r="C62" s="24"/>
      <c r="D62" s="24">
        <v>10</v>
      </c>
      <c r="E62" s="24">
        <v>12</v>
      </c>
      <c r="F62" s="25"/>
      <c r="G62" s="25" t="s">
        <v>86</v>
      </c>
      <c r="H62" s="25" t="s">
        <v>225</v>
      </c>
      <c r="I62" s="25" t="s">
        <v>213</v>
      </c>
      <c r="J62" s="25" t="s">
        <v>171</v>
      </c>
      <c r="K62" s="24" t="s">
        <v>90</v>
      </c>
      <c r="L62" s="25" t="s">
        <v>150</v>
      </c>
      <c r="M62" s="26"/>
      <c r="N62" s="32"/>
      <c r="O62" s="32"/>
      <c r="P62" s="32"/>
      <c r="Q62" s="32"/>
      <c r="R62" s="28" t="str">
        <f t="shared" ref="R62:T62" si="62">IF(U62&gt;0,"Có","Không")</f>
        <v>Không</v>
      </c>
      <c r="S62" s="28" t="str">
        <f t="shared" si="62"/>
        <v>Không</v>
      </c>
      <c r="T62" s="28" t="str">
        <f t="shared" si="62"/>
        <v>Không</v>
      </c>
      <c r="U62" s="30"/>
      <c r="V62" s="30"/>
      <c r="W62" s="30"/>
      <c r="X62" s="30"/>
      <c r="Y62" s="28" t="str">
        <f t="shared" si="30"/>
        <v>Không thực hiện</v>
      </c>
      <c r="Z62" s="31"/>
      <c r="AA62" s="46"/>
      <c r="AB62" s="23"/>
    </row>
    <row r="63" spans="1:28" ht="19" x14ac:dyDescent="0.2">
      <c r="A63" s="44">
        <v>61</v>
      </c>
      <c r="B63" s="24" t="s">
        <v>85</v>
      </c>
      <c r="C63" s="24"/>
      <c r="D63" s="24">
        <v>14</v>
      </c>
      <c r="E63" s="24">
        <v>12</v>
      </c>
      <c r="F63" s="25"/>
      <c r="G63" s="25" t="s">
        <v>86</v>
      </c>
      <c r="H63" s="25" t="s">
        <v>226</v>
      </c>
      <c r="I63" s="25" t="s">
        <v>227</v>
      </c>
      <c r="J63" s="25" t="s">
        <v>171</v>
      </c>
      <c r="K63" s="24" t="s">
        <v>90</v>
      </c>
      <c r="L63" s="25" t="s">
        <v>91</v>
      </c>
      <c r="M63" s="26" t="s">
        <v>216</v>
      </c>
      <c r="N63" s="32"/>
      <c r="O63" s="32"/>
      <c r="P63" s="32"/>
      <c r="Q63" s="32"/>
      <c r="R63" s="28" t="str">
        <f t="shared" ref="R63:T63" si="63">IF(U63&gt;0,"Có","Không")</f>
        <v>Không</v>
      </c>
      <c r="S63" s="28" t="str">
        <f t="shared" si="63"/>
        <v>Không</v>
      </c>
      <c r="T63" s="28" t="str">
        <f t="shared" si="63"/>
        <v>Không</v>
      </c>
      <c r="U63" s="30"/>
      <c r="V63" s="30"/>
      <c r="W63" s="30"/>
      <c r="X63" s="30"/>
      <c r="Y63" s="28" t="str">
        <f t="shared" si="30"/>
        <v>Không thực hiện</v>
      </c>
      <c r="Z63" s="31"/>
      <c r="AA63" s="46"/>
      <c r="AB63" s="23"/>
    </row>
    <row r="64" spans="1:28" ht="19" x14ac:dyDescent="0.2">
      <c r="A64" s="44">
        <v>62</v>
      </c>
      <c r="B64" s="24" t="s">
        <v>99</v>
      </c>
      <c r="C64" s="24"/>
      <c r="D64" s="24">
        <v>24</v>
      </c>
      <c r="E64" s="24">
        <v>12</v>
      </c>
      <c r="F64" s="25"/>
      <c r="G64" s="25" t="s">
        <v>86</v>
      </c>
      <c r="H64" s="25" t="s">
        <v>228</v>
      </c>
      <c r="I64" s="25" t="s">
        <v>222</v>
      </c>
      <c r="J64" s="25" t="s">
        <v>171</v>
      </c>
      <c r="K64" s="24" t="s">
        <v>90</v>
      </c>
      <c r="L64" s="25" t="s">
        <v>150</v>
      </c>
      <c r="M64" s="26" t="s">
        <v>229</v>
      </c>
      <c r="N64" s="32"/>
      <c r="O64" s="32"/>
      <c r="P64" s="32"/>
      <c r="Q64" s="32"/>
      <c r="R64" s="28" t="str">
        <f t="shared" ref="R64:T64" si="64">IF(U64&gt;0,"Có","Không")</f>
        <v>Không</v>
      </c>
      <c r="S64" s="28" t="str">
        <f t="shared" si="64"/>
        <v>Không</v>
      </c>
      <c r="T64" s="28" t="str">
        <f t="shared" si="64"/>
        <v>Không</v>
      </c>
      <c r="U64" s="30"/>
      <c r="V64" s="30"/>
      <c r="W64" s="30"/>
      <c r="X64" s="30"/>
      <c r="Y64" s="28" t="str">
        <f t="shared" si="30"/>
        <v>Không thực hiện</v>
      </c>
      <c r="Z64" s="31"/>
      <c r="AA64" s="46"/>
      <c r="AB64" s="23"/>
    </row>
    <row r="65" spans="1:28" ht="38" x14ac:dyDescent="0.2">
      <c r="A65" s="55">
        <v>63</v>
      </c>
      <c r="B65" s="56" t="s">
        <v>85</v>
      </c>
      <c r="C65" s="56"/>
      <c r="D65" s="56">
        <v>28</v>
      </c>
      <c r="E65" s="56">
        <v>12</v>
      </c>
      <c r="F65" s="57"/>
      <c r="G65" s="57" t="s">
        <v>86</v>
      </c>
      <c r="H65" s="57" t="s">
        <v>230</v>
      </c>
      <c r="I65" s="57" t="s">
        <v>231</v>
      </c>
      <c r="J65" s="57" t="s">
        <v>232</v>
      </c>
      <c r="K65" s="56" t="s">
        <v>90</v>
      </c>
      <c r="L65" s="57" t="s">
        <v>91</v>
      </c>
      <c r="M65" s="58" t="s">
        <v>216</v>
      </c>
      <c r="N65" s="59"/>
      <c r="O65" s="59"/>
      <c r="P65" s="59"/>
      <c r="Q65" s="59"/>
      <c r="R65" s="60" t="str">
        <f t="shared" ref="R65:T65" si="65">IF(U65&gt;0,"Có","Không")</f>
        <v>Không</v>
      </c>
      <c r="S65" s="60" t="str">
        <f t="shared" si="65"/>
        <v>Không</v>
      </c>
      <c r="T65" s="60" t="str">
        <f t="shared" si="65"/>
        <v>Không</v>
      </c>
      <c r="U65" s="61"/>
      <c r="V65" s="61"/>
      <c r="W65" s="61"/>
      <c r="X65" s="61"/>
      <c r="Y65" s="60" t="str">
        <f t="shared" si="30"/>
        <v>Không thực hiện</v>
      </c>
      <c r="Z65" s="62"/>
      <c r="AA65" s="63"/>
      <c r="AB65" s="23"/>
    </row>
  </sheetData>
  <dataValidations count="3">
    <dataValidation type="list" allowBlank="1" sqref="B2:B65" xr:uid="{00000000-0002-0000-0100-000000000000}">
      <formula1>"Thứ Hai,Thứ Ba,Thứ Tư,Thứ Năm,Thứ Sáu,Thứ Bảy"</formula1>
    </dataValidation>
    <dataValidation type="list" allowBlank="1" sqref="K2:K65" xr:uid="{00000000-0002-0000-0100-000001000000}">
      <formula1>"Phòng Hành chính khoa,Hội trường 8A,Phòng họp 1A,Phòng họp TGĐ,Phòng họp Chủ tịch"</formula1>
    </dataValidation>
    <dataValidation type="list" allowBlank="1" showErrorMessage="1" sqref="G2:G65" xr:uid="{00000000-0002-0000-0100-000002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U17" r:id="rId1" xr:uid="{00000000-0004-0000-0100-000000000000}"/>
    <hyperlink ref="U19" r:id="rId2" xr:uid="{00000000-0004-0000-0100-000001000000}"/>
    <hyperlink ref="U23" r:id="rId3" xr:uid="{00000000-0004-0000-0100-000002000000}"/>
    <hyperlink ref="V25" r:id="rId4" xr:uid="{00000000-0004-0000-0100-000003000000}"/>
    <hyperlink ref="W25" r:id="rId5" xr:uid="{00000000-0004-0000-0100-000004000000}"/>
    <hyperlink ref="U26" r:id="rId6" xr:uid="{00000000-0004-0000-0100-000005000000}"/>
    <hyperlink ref="W26" r:id="rId7" xr:uid="{00000000-0004-0000-0100-000006000000}"/>
    <hyperlink ref="U27" r:id="rId8" xr:uid="{00000000-0004-0000-0100-000007000000}"/>
    <hyperlink ref="W27" r:id="rId9" xr:uid="{00000000-0004-0000-0100-000008000000}"/>
    <hyperlink ref="U28" r:id="rId10" location="gid=599113286" xr:uid="{00000000-0004-0000-0100-000009000000}"/>
    <hyperlink ref="V28" r:id="rId11" xr:uid="{00000000-0004-0000-0100-00000A000000}"/>
    <hyperlink ref="W28" r:id="rId12" xr:uid="{00000000-0004-0000-0100-00000B000000}"/>
  </hyperlinks>
  <pageMargins left="0.7" right="0.7" top="0.75" bottom="0.75" header="0" footer="0"/>
  <pageSetup orientation="landscape"/>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2026-05-21T08:59:41Z</dcterms:modified>
</cp:coreProperties>
</file>